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rzad\Python\Coursera\"/>
    </mc:Choice>
  </mc:AlternateContent>
  <bookViews>
    <workbookView xWindow="0" yWindow="3840" windowWidth="20490" windowHeight="7035" firstSheet="1" activeTab="3"/>
  </bookViews>
  <sheets>
    <sheet name="coursera_guided projects_0t (2" sheetId="6" r:id="rId1"/>
    <sheet name="coursera_guided projects_0to214" sheetId="1" r:id="rId2"/>
    <sheet name="new" sheetId="7" r:id="rId3"/>
    <sheet name="enrolled" sheetId="8" r:id="rId4"/>
    <sheet name="downloaded true" sheetId="5" r:id="rId5"/>
  </sheets>
  <definedNames>
    <definedName name="_xlnm._FilterDatabase" localSheetId="0" hidden="1">'coursera_guided projects_0t (2'!$A$1:$K$215</definedName>
    <definedName name="_xlnm._FilterDatabase" localSheetId="1" hidden="1">'coursera_guided projects_0to214'!$A$1:$K$215</definedName>
    <definedName name="_xlnm._FilterDatabase" localSheetId="2" hidden="1">new!$A$1:$K$161</definedName>
  </definedNames>
  <calcPr calcId="162913"/>
</workbook>
</file>

<file path=xl/calcChain.xml><?xml version="1.0" encoding="utf-8"?>
<calcChain xmlns="http://schemas.openxmlformats.org/spreadsheetml/2006/main">
  <c r="K86" i="5" l="1"/>
  <c r="K85" i="5"/>
  <c r="K3" i="6" l="1"/>
  <c r="K14" i="1" l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3" i="1"/>
  <c r="K4" i="1"/>
  <c r="K5" i="1"/>
  <c r="K6" i="1"/>
  <c r="K7" i="1"/>
  <c r="K8" i="1"/>
  <c r="K9" i="1"/>
  <c r="K10" i="1"/>
  <c r="K11" i="1"/>
  <c r="K12" i="1"/>
  <c r="K13" i="1"/>
  <c r="K2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2" i="6"/>
</calcChain>
</file>

<file path=xl/sharedStrings.xml><?xml version="1.0" encoding="utf-8"?>
<sst xmlns="http://schemas.openxmlformats.org/spreadsheetml/2006/main" count="3598" uniqueCount="456">
  <si>
    <t>url</t>
  </si>
  <si>
    <t>name</t>
  </si>
  <si>
    <t>level</t>
  </si>
  <si>
    <t>duration</t>
  </si>
  <si>
    <t>primaryLanguages</t>
  </si>
  <si>
    <t>partner</t>
  </si>
  <si>
    <t>rating</t>
  </si>
  <si>
    <t>ratingScore</t>
  </si>
  <si>
    <t>https://www.coursera.org/learn/interactive-word2vec</t>
  </si>
  <si>
    <t>Interactive Word Embeddings using Word2Vec and Plotly</t>
  </si>
  <si>
    <t>INTERMEDIATE</t>
  </si>
  <si>
    <t>['en']</t>
  </si>
  <si>
    <t>Coursera Project Network</t>
  </si>
  <si>
    <t>https://www.coursera.org/learn/scikit-learn-k-means-clustering-image-compression</t>
  </si>
  <si>
    <t xml:space="preserve">Image Compression with K-Means Clustering </t>
  </si>
  <si>
    <t>BEGINNER</t>
  </si>
  <si>
    <t>https://www.coursera.org/learn/nlp-english-to-french-translation</t>
  </si>
  <si>
    <t>English/French Translator: Long Short Term Memory Networks</t>
  </si>
  <si>
    <t>https://www.coursera.org/learn/covid19-data-visualization-using-python</t>
  </si>
  <si>
    <t>COVID19 Data Visualization Using Python</t>
  </si>
  <si>
    <t>https://www.coursera.org/learn/data-visualization-with-python</t>
  </si>
  <si>
    <t>Data Visualization with Python</t>
  </si>
  <si>
    <t>https://www.coursera.org/learn/exploratory-data-analysis-python</t>
  </si>
  <si>
    <t>Exploratory Data Analysis</t>
  </si>
  <si>
    <t>https://www.coursera.org/learn/probability-distributions-real-world-problems-r</t>
  </si>
  <si>
    <t>Using probability distributions for real world problems in R</t>
  </si>
  <si>
    <t>https://www.coursera.org/learn/image-compression-generation-vae</t>
  </si>
  <si>
    <t>Image Compression and Generation using Variational Autoencoders in Python</t>
  </si>
  <si>
    <t>https://www.coursera.org/learn/analyze-visitors-google-analytics-segments</t>
  </si>
  <si>
    <t>Analyze Website Visitors with Google Analytics Segments</t>
  </si>
  <si>
    <t>https://www.coursera.org/learn/multilayer-perceptron-model-keras</t>
  </si>
  <si>
    <t>Build Multilayer Perceptron Models with Keras</t>
  </si>
  <si>
    <t>https://www.coursera.org/learn/predict-housing-prices-boston-data</t>
  </si>
  <si>
    <t>Predict Housing Prices in R on Boston Housing Data</t>
  </si>
  <si>
    <t>https://www.coursera.org/learn/reverse-and-complement-nucleic-acid-sequences-using-r</t>
  </si>
  <si>
    <t>Reverse and complement nucleic acid sequences (DNA, RNA) using R</t>
  </si>
  <si>
    <t>https://www.coursera.org/learn/machine-learning-feature-selection-in-python</t>
  </si>
  <si>
    <t>Machine Learning Feature Selection in Python</t>
  </si>
  <si>
    <t>https://www.coursera.org/learn/automl-computer-vision-microsoft-custom-vision</t>
  </si>
  <si>
    <t>AutoML for Computer Vision with Microsoft Custom Vision</t>
  </si>
  <si>
    <t>https://www.coursera.org/learn/processing-data-with-python</t>
  </si>
  <si>
    <t>Processing Data with Python</t>
  </si>
  <si>
    <t>https://www.coursera.org/learn/employee-turnover-scikit-learn</t>
  </si>
  <si>
    <t>Predict Employee Turnover with scikit-learn</t>
  </si>
  <si>
    <t>https://www.coursera.org/learn/introduction-to-topic-modeling-for-business</t>
  </si>
  <si>
    <t>Introduction to Topic Modeling for Business</t>
  </si>
  <si>
    <t>https://www.coursera.org/learn/data-mining-visualization-in-python</t>
  </si>
  <si>
    <t>Mining Data to Extract and Visualize Insights in Python</t>
  </si>
  <si>
    <t>https://www.coursera.org/learn/descriptive-statistics-analyze-data-r</t>
  </si>
  <si>
    <t>Using Descriptive Statistics to Analyze Data in R</t>
  </si>
  <si>
    <t>https://www.coursera.org/learn/analyze-stock-data-using-r-quantmod</t>
  </si>
  <si>
    <t>Analyze Stock Data using R and Quantmod Package</t>
  </si>
  <si>
    <t>https://www.coursera.org/learn/facial-expression-classification</t>
  </si>
  <si>
    <t>Facial Expression Classification Using Residual Neural Nets</t>
  </si>
  <si>
    <t>https://www.coursera.org/learn/linear-regression</t>
  </si>
  <si>
    <t>Linear Regression with Python</t>
  </si>
  <si>
    <t>https://www.coursera.org/learn/building-similarity-based-recommendation-system</t>
  </si>
  <si>
    <t>Building Similarity Based Recommendation System</t>
  </si>
  <si>
    <t>https://www.coursera.org/learn/predict-sales-forecast-trends-in-google-sheets</t>
  </si>
  <si>
    <t>Predict Sales and Forecast Trends in Google Sheets</t>
  </si>
  <si>
    <t>https://www.coursera.org/learn/traffic-sign-classification-deep-learning</t>
  </si>
  <si>
    <t>Traffic Sign Classification Using Deep Learning in Python/Keras</t>
  </si>
  <si>
    <t>https://www.coursera.org/learn/database-design-with-sql-server-management-studio</t>
  </si>
  <si>
    <t>Database Design with SQL Server Management Studio (SSMS)</t>
  </si>
  <si>
    <t>https://www.coursera.org/learn/performing-data-definition-and-manipulation-in-sql</t>
  </si>
  <si>
    <t>Performing Data Definition and Manipulation in SQL</t>
  </si>
  <si>
    <t>https://www.coursera.org/learn/save-load-export-keras-models</t>
  </si>
  <si>
    <t>Save, Load and Export Models with Keras</t>
  </si>
  <si>
    <t>https://www.coursera.org/learn/measuring-stock-liquidity</t>
  </si>
  <si>
    <t>Measuring Stock Liquidity</t>
  </si>
  <si>
    <t>https://www.coursera.org/learn/image-noise-reduction-auto-encoders</t>
  </si>
  <si>
    <t>Image Noise Reduction with Auto-encoders using TensorFlow</t>
  </si>
  <si>
    <t>https://www.coursera.org/learn/statistical-visualization</t>
  </si>
  <si>
    <t>Statistical Data Visualization in Python</t>
  </si>
  <si>
    <t>https://www.coursera.org/learn/image-classification-transfer-learning-keras</t>
  </si>
  <si>
    <t>Classification with Transfer Learning in Keras</t>
  </si>
  <si>
    <t>https://www.coursera.org/learn/building-stock-returns-heatmap-tableau</t>
  </si>
  <si>
    <t>Building Stock Returns Heatmap with Tableau</t>
  </si>
  <si>
    <t>https://www.coursera.org/learn/business-analysis-using-spreadsheets</t>
  </si>
  <si>
    <t>Introduction to Business Analysis Using Spreadsheets: Basics</t>
  </si>
  <si>
    <t>https://www.coursera.org/learn/querying-databases-using-sql-select-statement</t>
  </si>
  <si>
    <t>Querying Databases Using SQL SELECT statement</t>
  </si>
  <si>
    <t>https://www.coursera.org/learn/analyze-data-plotly-python</t>
  </si>
  <si>
    <t>Analyze Box Office Data with Plotly and Python</t>
  </si>
  <si>
    <t>https://www.coursera.org/learn/support-vector-machines-scikit-learn</t>
  </si>
  <si>
    <t>Support Vector Machines with scikit-learn</t>
  </si>
  <si>
    <t>https://www.coursera.org/learn/basic-artificial-neural-networks-in-python</t>
  </si>
  <si>
    <t>Basic Artificial Neural Networks in Python</t>
  </si>
  <si>
    <t>https://www.coursera.org/learn/dplyr</t>
  </si>
  <si>
    <t>Build Data Analysis and Transformation Skills in R using DPLYR</t>
  </si>
  <si>
    <t>https://www.coursera.org/learn/autoencoders-image-denoising</t>
  </si>
  <si>
    <t xml:space="preserve">Image Denoising Using AutoEncoders in Keras and Python </t>
  </si>
  <si>
    <t>https://www.coursera.org/learn/hierarchical-clustering-customer-segmentation</t>
  </si>
  <si>
    <t>Hierarchical Clustering: Customer Segmentation</t>
  </si>
  <si>
    <t>https://www.coursera.org/learn/explainable-machine-learning-lime-h2o</t>
  </si>
  <si>
    <t>Explainable Machine Learning with LIME and H2O in R</t>
  </si>
  <si>
    <t>https://www.coursera.org/learn/tensorflow-regularization-avoid-overfitting</t>
  </si>
  <si>
    <t>Avoid Overfitting Using Regularization in TensorFlow</t>
  </si>
  <si>
    <t>https://www.coursera.org/learn/handling-imbalanced-data-classification-problems</t>
  </si>
  <si>
    <t>Handling Imbalanced Data Classification Problems</t>
  </si>
  <si>
    <t>https://www.coursera.org/learn/fine-tune-bert-tensorflow</t>
  </si>
  <si>
    <t>Fine Tune BERT for Text Classification with TensorFlow</t>
  </si>
  <si>
    <t>https://www.coursera.org/learn/scene-classification-gradcam</t>
  </si>
  <si>
    <t xml:space="preserve">Explainable AI: Scene Classification and GradCam Visualization </t>
  </si>
  <si>
    <t>https://www.coursera.org/learn/generating-new-recipes-python</t>
  </si>
  <si>
    <t>Generating New Recipes using GPT-2</t>
  </si>
  <si>
    <t>https://www.coursera.org/learn/serving-tensorflow-models-with-rest-api</t>
  </si>
  <si>
    <t>Serving Tensorflow Models with a REST API</t>
  </si>
  <si>
    <t>https://www.coursera.org/learn/basic-relational-databases-sql</t>
  </si>
  <si>
    <t>Building Basic Relational Databases inÂ SQL Server Management Studio</t>
  </si>
  <si>
    <t>https://www.coursera.org/learn/medical-diagnosis-support-vector-machines</t>
  </si>
  <si>
    <t>Medical Diagnosis using Support Vector Machines</t>
  </si>
  <si>
    <t>https://www.coursera.org/learn/hyperparameter-tuning</t>
  </si>
  <si>
    <t>Hyperparameter Tuning with Neural Network Intelligence</t>
  </si>
  <si>
    <t>https://www.coursera.org/learn/deep-learning-fundamentals-logistic-regression</t>
  </si>
  <si>
    <t>Logistic Regression with Python and Numpy</t>
  </si>
  <si>
    <t>https://www.coursera.org/learn/analyze-data-seaborn-python</t>
  </si>
  <si>
    <t>Analyze Box Office Data with Seaborn and Python</t>
  </si>
  <si>
    <t>https://www.coursera.org/learn/getting-started-with-r</t>
  </si>
  <si>
    <t>Getting Started with R</t>
  </si>
  <si>
    <t>https://www.coursera.org/learn/genome-analysis-z-curve</t>
  </si>
  <si>
    <t>A Geometrical Approach to Genome Analysis: Skew &amp; Z-Curve</t>
  </si>
  <si>
    <t>https://www.coursera.org/learn/manipulating-data-with-sql</t>
  </si>
  <si>
    <t>Manipulating Data with SQL</t>
  </si>
  <si>
    <t>https://www.coursera.org/learn/plots-graphics-in-r</t>
  </si>
  <si>
    <t>Plots (Graphics) in R</t>
  </si>
  <si>
    <t>https://www.coursera.org/learn/creating-database-tables-with-sql</t>
  </si>
  <si>
    <t>Creating Database Tables with SQL</t>
  </si>
  <si>
    <t>https://www.coursera.org/learn/data-augmentation-keras</t>
  </si>
  <si>
    <t>Image Data Augmentation with Keras</t>
  </si>
  <si>
    <t>https://www.coursera.org/learn/object-detection-sagemaker</t>
  </si>
  <si>
    <t>Object Detection with Amazon Sagemaker</t>
  </si>
  <si>
    <t>ADVANCED</t>
  </si>
  <si>
    <t>https://www.coursera.org/learn/predictive-modelling-azure-machine-learning-studio</t>
  </si>
  <si>
    <t>Predictive Modelling with Azure Machine Learning Studio</t>
  </si>
  <si>
    <t>https://www.coursera.org/learn/deep-learning-image-classifier-r</t>
  </si>
  <si>
    <t>Build a Deep Learning Based Image Classifier with R</t>
  </si>
  <si>
    <t>https://www.coursera.org/learn/analyze-text-data-yellowbrick</t>
  </si>
  <si>
    <t>Analyze Text Data with Yellowbrick</t>
  </si>
  <si>
    <t>https://www.coursera.org/learn/mining-quality-prediction</t>
  </si>
  <si>
    <t>Mining Quality Prediction Using Machine &amp; Deep Learning</t>
  </si>
  <si>
    <t>https://www.coursera.org/learn/computer-vision-video-basics-opencv-python</t>
  </si>
  <si>
    <t>Video Basics with OpenCV and Python</t>
  </si>
  <si>
    <t>https://www.coursera.org/learn/building-candlestick-charts-tableau</t>
  </si>
  <si>
    <t>Building Candlestick Charts with Tableau</t>
  </si>
  <si>
    <t>https://www.coursera.org/learn/performing-data-aggregation-using-sql-aggregate-functions</t>
  </si>
  <si>
    <t>Performing Data Aggregation using SQL Aggregate Functions</t>
  </si>
  <si>
    <t>https://www.coursera.org/learn/machine-learning-h2o-flow</t>
  </si>
  <si>
    <t>Machine Learning with H2O Flow</t>
  </si>
  <si>
    <t>https://www.coursera.org/learn/custom-prediction-routine-google-ai-platform</t>
  </si>
  <si>
    <t>Custom Prediction Routine on Google AI Platform</t>
  </si>
  <si>
    <t>https://www.coursera.org/learn/optimization-of-topic-models-using-grid-search-method</t>
  </si>
  <si>
    <t>Optimization of Topic Models using Grid Search Method</t>
  </si>
  <si>
    <t>https://www.coursera.org/learn/digging-deeper-into-audience-reports-in-google-analytics</t>
  </si>
  <si>
    <t>Digging Deeper into Audience Reports in Google Analytics</t>
  </si>
  <si>
    <t>https://www.coursera.org/learn/build-analyze-linear-regression-model-r</t>
  </si>
  <si>
    <t>Building and analyzing linear regression model in R</t>
  </si>
  <si>
    <t>https://www.coursera.org/learn/reverse-and-complement-nucleic-acid-sequences-using-python</t>
  </si>
  <si>
    <t>Reverse and complement nucleic acid sequences (DNA, RNA) using Python</t>
  </si>
  <si>
    <t>https://www.coursera.org/learn/custom-layers-keras</t>
  </si>
  <si>
    <t>Create Custom Layers in Keras</t>
  </si>
  <si>
    <t>https://www.coursera.org/learn/conduct-sales-projections-with-seasonality-google-sheets</t>
  </si>
  <si>
    <t>Conduct Sales Projections with Seasonality in Google Sheets</t>
  </si>
  <si>
    <t>https://www.coursera.org/learn/create-relational-database-table-sqlitestudio</t>
  </si>
  <si>
    <t>Create Relational Database Tables Using SQLiteStudio</t>
  </si>
  <si>
    <t>https://www.coursera.org/learn/neural-style-transfer</t>
  </si>
  <si>
    <t>Neural Style Transfer with TensorFlow</t>
  </si>
  <si>
    <t>https://www.coursera.org/learn/feature-analysis-yellowbrick</t>
  </si>
  <si>
    <t>Perform Feature Analysis with Yellowbrick</t>
  </si>
  <si>
    <t>https://www.coursera.org/learn/graphing-with-ggplot2</t>
  </si>
  <si>
    <t>Graphing with ggplot2</t>
  </si>
  <si>
    <t>https://www.coursera.org/learn/plots-graphics-for-data-science</t>
  </si>
  <si>
    <t>Plots (Graphics) for Data Science</t>
  </si>
  <si>
    <t>https://www.coursera.org/learn/google-finance-functions-google-sheets</t>
  </si>
  <si>
    <t>Leverage Google Finance Functions in Google Sheets</t>
  </si>
  <si>
    <t>https://www.coursera.org/learn/geo-visualization-in-python</t>
  </si>
  <si>
    <t>Geo-Visualization in Python</t>
  </si>
  <si>
    <t>https://www.coursera.org/learn/introduction-to-line-balancing-using-precedence-diagram</t>
  </si>
  <si>
    <t>Introduction to Line Balancing Using Precedence Diagram</t>
  </si>
  <si>
    <t>https://www.coursera.org/learn/azure-machine-learning-studio-random-forests</t>
  </si>
  <si>
    <t>Build Random Forests in R with Azure ML Studio</t>
  </si>
  <si>
    <t>https://www.coursera.org/learn/azure-machine-learning-studio-pipeline</t>
  </si>
  <si>
    <t>Machine Learning Pipelines with Azure ML Studio</t>
  </si>
  <si>
    <t>https://www.coursera.org/learn/support-vector-machine-classification-python</t>
  </si>
  <si>
    <t>Support Vector Machine Classification in Python</t>
  </si>
  <si>
    <t>https://www.coursera.org/learn/predict-poison-mushrooms-using-random-forest</t>
  </si>
  <si>
    <t>Machine Learning:  Predict Poisonous Mushrooms using a Random Forest Model and the FFTrees Package in R</t>
  </si>
  <si>
    <t>https://www.coursera.org/learn/transfer-learning-food-classification</t>
  </si>
  <si>
    <t>Transfer Learning for Food Classification</t>
  </si>
  <si>
    <t>https://www.coursera.org/learn/linear-regression-predicting-salaries</t>
  </si>
  <si>
    <t>Predicting Salaries with Simple Linear Regression in R</t>
  </si>
  <si>
    <t>https://www.coursera.org/learn/predict-numbers-from-handwritten-digits-neuralnetwork</t>
  </si>
  <si>
    <t>Machine Learning:  Predict Numbers from Handwritten Digits using a Neural Network, Keras, and R</t>
  </si>
  <si>
    <t>https://www.coursera.org/learn/predict-picture-type-using-neural-network</t>
  </si>
  <si>
    <t>Machine Learning: Create a Neural Network that Predicts whether an Image is a Car or Airplane.</t>
  </si>
  <si>
    <t>https://www.coursera.org/learn/regression-automatic-differentiation-tensorflow</t>
  </si>
  <si>
    <t>Regression with Automatic Differentiation in TensorFlow</t>
  </si>
  <si>
    <t>https://www.coursera.org/learn/building-custom-regional-reports-with-google-analytics</t>
  </si>
  <si>
    <t>Building Custom Regional Reports with Google Analytics</t>
  </si>
  <si>
    <t>https://www.coursera.org/learn/sagemaker-tensorflow</t>
  </si>
  <si>
    <t>Using TensorFlow with Amazon Sagemaker</t>
  </si>
  <si>
    <t>https://www.coursera.org/learn/leveraging-real-time-analytics-in-slack-local-and-surveymonkey-integrations</t>
  </si>
  <si>
    <t>Leveraging Real-Time Analytics in Slack</t>
  </si>
  <si>
    <t>https://www.coursera.org/learn/draw-insights-with-crosstabs-reports-google-sheets</t>
  </si>
  <si>
    <t>Draw Insights with Crosstabs Reports in Google Sheets</t>
  </si>
  <si>
    <t>https://www.coursera.org/learn/computer-vision-neural-transfer-style-green-screen-effect</t>
  </si>
  <si>
    <t>Computer Vision: Neural Transfer Style &amp; Green Screen Effect</t>
  </si>
  <si>
    <t>https://www.coursera.org/learn/predictive-analytics-business-h2o-r</t>
  </si>
  <si>
    <t xml:space="preserve"> Predictive Analytics for Business with H2O in R</t>
  </si>
  <si>
    <t>https://www.coursera.org/learn/neural-network-visualizer</t>
  </si>
  <si>
    <t>Neural Network Visualizer Web App with Python</t>
  </si>
  <si>
    <t>https://www.coursera.org/learn/machine-learning-visualization</t>
  </si>
  <si>
    <t>Visual Machine Learning with Yellowbrick</t>
  </si>
  <si>
    <t>https://www.coursera.org/learn/power-bi-desktop</t>
  </si>
  <si>
    <t>Getting Started with Power BI Desktop</t>
  </si>
  <si>
    <t>https://www.coursera.org/learn/covid19-data-analysis-using-python</t>
  </si>
  <si>
    <t>COVID19 Data Analysis Using Python</t>
  </si>
  <si>
    <t>https://www.coursera.org/learn/introduction-to-relational-database-and-sql</t>
  </si>
  <si>
    <t>Introduction to Relational Database and SQL</t>
  </si>
  <si>
    <t>https://www.coursera.org/learn/sentiment-analysis-bert</t>
  </si>
  <si>
    <t>Sentiment Analysis with Deep Learning using BERT</t>
  </si>
  <si>
    <t>https://www.coursera.org/learn/introduction-to-python</t>
  </si>
  <si>
    <t>Introduction to Python</t>
  </si>
  <si>
    <t>https://www.coursera.org/learn/chatbot-rasa-python</t>
  </si>
  <si>
    <t>Create Your First Chatbot with Rasa and Python</t>
  </si>
  <si>
    <t>https://www.coursera.org/learn/covid-19-detection-x-ray</t>
  </si>
  <si>
    <t>Detecting COVID-19 with Chest X-Ray using PyTorch</t>
  </si>
  <si>
    <t>https://www.coursera.org/learn/anomaly-detection-time-series-keras</t>
  </si>
  <si>
    <t>Anomaly Detection in Time Series Data with Keras</t>
  </si>
  <si>
    <t>https://www.coursera.org/learn/intro-time-series-analysis-in-r</t>
  </si>
  <si>
    <t>Intro to Time Series Analysis in R</t>
  </si>
  <si>
    <t>https://www.coursera.org/learn/data-science-streamlit-python</t>
  </si>
  <si>
    <t>Build a Data Science Web App with Streamlit and Python</t>
  </si>
  <si>
    <t>https://www.coursera.org/learn/facial-expression-recognition-keras</t>
  </si>
  <si>
    <t>Facial Expression Recognition with Keras</t>
  </si>
  <si>
    <t>https://www.coursera.org/learn/exploratory-data-analysis-python-pandas</t>
  </si>
  <si>
    <t>Exploratory Data Analysis With Python and Pandas</t>
  </si>
  <si>
    <t>https://www.coursera.org/learn/ocr-text-detection-tensorflow-opencv-tesseract</t>
  </si>
  <si>
    <t xml:space="preserve"> Real-time OCR and Text Detection with Tensorflow, OpenCV and Tesseract</t>
  </si>
  <si>
    <t>https://www.coursera.org/learn/twitter-sentiment-analysis</t>
  </si>
  <si>
    <t>NLP: Twitter Sentiment Analysis</t>
  </si>
  <si>
    <t>https://www.coursera.org/learn/deep-learning-nlp-gpt-2</t>
  </si>
  <si>
    <t>Deep Learning NLP: Training GPT-2 from scratch</t>
  </si>
  <si>
    <t>https://www.coursera.org/learn/real-time-object-detection-yolo</t>
  </si>
  <si>
    <t>Perform Real-Time Object Detection with YOLOv3</t>
  </si>
  <si>
    <t>https://www.coursera.org/learn/visualizing-citibike-trips-tableau</t>
  </si>
  <si>
    <t>Visualizing Citibike Trips with Tableau</t>
  </si>
  <si>
    <t>https://www.coursera.org/learn/intermediate-rdb-sql</t>
  </si>
  <si>
    <t>Intermediate Relational Database and SQL</t>
  </si>
  <si>
    <t>https://www.coursera.org/learn/machine-learning-for-customer-segmentation</t>
  </si>
  <si>
    <t>Unsupervised Machine Learning for Customer Market Segmentation</t>
  </si>
  <si>
    <t>https://www.coursera.org/learn/computer-vision-object-detection</t>
  </si>
  <si>
    <t>Computer Vision - Object Detection with OpenCV and Python</t>
  </si>
  <si>
    <t>https://www.coursera.org/learn/nlp-fake-news-detector</t>
  </si>
  <si>
    <t>Fake News Detection with Machine Learning</t>
  </si>
  <si>
    <t>https://www.coursera.org/learn/generative-adversarial-networks-keras</t>
  </si>
  <si>
    <t>Generate Synthetic Images with DCGANs in Keras</t>
  </si>
  <si>
    <t>https://www.coursera.org/learn/interactive-dashboards-streamlit-python</t>
  </si>
  <si>
    <t>Create Interactive Dashboards with Streamlit and Python</t>
  </si>
  <si>
    <t>https://www.coursera.org/learn/machine-learning-streamlit-python</t>
  </si>
  <si>
    <t>Build a Machine Learning Web App with Streamlit and Python</t>
  </si>
  <si>
    <t>https://www.coursera.org/learn/advanced-rdb-sql</t>
  </si>
  <si>
    <t>Advanced Relational Database and SQL</t>
  </si>
  <si>
    <t>https://www.coursera.org/learn/new-product-dev-smes</t>
  </si>
  <si>
    <t>New Product Development For Small Businesses and Start-Ups</t>
  </si>
  <si>
    <t>https://www.coursera.org/learn/pandas-python-library-beginners-data-science</t>
  </si>
  <si>
    <t>Pandas Python Library for Beginners in Data Science</t>
  </si>
  <si>
    <t>https://www.coursera.org/learn/data-analysis-using-pyspark</t>
  </si>
  <si>
    <t>Data Analysis Using Pyspark</t>
  </si>
  <si>
    <t>https://www.coursera.org/learn/python-world-map-geovisualization-dashboard-covid-data</t>
  </si>
  <si>
    <t>Python World Map Geovisualization Dashboard using Covid Data</t>
  </si>
  <si>
    <t>https://www.coursera.org/learn/computer-vision-opencv-for-images</t>
  </si>
  <si>
    <t>Computer Vision - Image Basics with OpenCV and Python</t>
  </si>
  <si>
    <t>https://www.coursera.org/learn/tensorflow-beginner-basic-image-classification</t>
  </si>
  <si>
    <t>Basic Image Classification with TensorFlow</t>
  </si>
  <si>
    <t>https://www.coursera.org/learn/named-entity-recognition-lstm-keras-tensorflow</t>
  </si>
  <si>
    <t>Named Entity Recognition using LSTMs with Keras</t>
  </si>
  <si>
    <t>https://www.coursera.org/learn/introduction-to-reinforcement-learning-in-python</t>
  </si>
  <si>
    <t>Introduction to Reinforcement Learning in Python</t>
  </si>
  <si>
    <t>https://www.coursera.org/learn/analyze-city-data-r-tableau</t>
  </si>
  <si>
    <t>Analyze City Data Using R and Tableau</t>
  </si>
  <si>
    <t>University of Illinois at Urbana-Champaign</t>
  </si>
  <si>
    <t>https://www.coursera.org/learn/prophet-timeseries-prediction</t>
  </si>
  <si>
    <t>Predict Future Product Prices Using Facebook Prophet</t>
  </si>
  <si>
    <t>https://www.coursera.org/learn/siamese-network-triplet-loss-keras</t>
  </si>
  <si>
    <t>Siamese Network with Triplet Loss in Keras</t>
  </si>
  <si>
    <t>https://www.coursera.org/learn/tensorflow-beginner-predicting-house-prices-regression</t>
  </si>
  <si>
    <t>Predicting House Prices with Regression using TensorFlow</t>
  </si>
  <si>
    <t>https://www.coursera.org/learn/single-table-sql-queries</t>
  </si>
  <si>
    <t>Retrieve Data using Single-Table SQL Queries</t>
  </si>
  <si>
    <t>https://www.coursera.org/learn/compare-stock-returns-google-sheets</t>
  </si>
  <si>
    <t>Compare Stock Returns with Google Sheets</t>
  </si>
  <si>
    <t>https://www.coursera.org/learn/linear-regression-numpy-python</t>
  </si>
  <si>
    <t>Linear Regression with NumPy and Python</t>
  </si>
  <si>
    <t>https://www.coursera.org/learn/image-classification-cnn-keras</t>
  </si>
  <si>
    <t>Image Classification with CNNs using Keras</t>
  </si>
  <si>
    <t>https://www.coursera.org/learn/python-geospatial-data-analysis</t>
  </si>
  <si>
    <t>Python Geospatial Data Analysis</t>
  </si>
  <si>
    <t>https://www.coursera.org/learn/exploratory-data-analysis-seaborn</t>
  </si>
  <si>
    <t>Exploratory Data Analysis with Seaborn</t>
  </si>
  <si>
    <t>https://www.coursera.org/learn/deepfakes-keras</t>
  </si>
  <si>
    <t>Understanding Deepfakes with Keras</t>
  </si>
  <si>
    <t>https://www.coursera.org/learn/statistical-data-visualization-seaborn</t>
  </si>
  <si>
    <t>Statistical Data Visualization with Seaborn</t>
  </si>
  <si>
    <t>https://www.coursera.org/learn/intermediate-pandas-python-library-data-science</t>
  </si>
  <si>
    <t>Intermediate Pandas Python Library for Data Science</t>
  </si>
  <si>
    <t>https://www.coursera.org/learn/scikit-learn-logistic-regression-sentiment-analysis</t>
  </si>
  <si>
    <t>Perform Sentiment Analysis with scikit-learn</t>
  </si>
  <si>
    <t>https://www.coursera.org/learn/movie-recommendation-system-using-collaborative-filtering</t>
  </si>
  <si>
    <t>Movie Recommendation System using Collaborative Filtering</t>
  </si>
  <si>
    <t>https://www.coursera.org/learn/computer-vision-object-tracking-opencv-python</t>
  </si>
  <si>
    <t>Computer Vision - Object Tracking with OpenCV and Python</t>
  </si>
  <si>
    <t>https://www.coursera.org/learn/create-rsi-buy-signal-using-r</t>
  </si>
  <si>
    <t>Create a Buy Signal using RSI in R with the Quantmod Package</t>
  </si>
  <si>
    <t>https://www.coursera.org/learn/fifa20-data-exploration-using-python</t>
  </si>
  <si>
    <t>FIFA20 Data Exploration using Python</t>
  </si>
  <si>
    <t>https://www.coursera.org/learn/data-visualization-plotly-express</t>
  </si>
  <si>
    <t>Data Visualization with Plotly Express</t>
  </si>
  <si>
    <t>https://www.coursera.org/learn/custom-reports-in-google-analytics</t>
  </si>
  <si>
    <t>Custom Reports in Google Analytics</t>
  </si>
  <si>
    <t>https://www.coursera.org/learn/semantic-segmentation-sagemaker</t>
  </si>
  <si>
    <t>Semantic Segmentation with Amazon Sagemaker</t>
  </si>
  <si>
    <t>https://www.coursera.org/learn/game-theory-with-python</t>
  </si>
  <si>
    <t>Game Theory with Python</t>
  </si>
  <si>
    <t>https://www.coursera.org/learn/investment-risk-management</t>
  </si>
  <si>
    <t>Investment Risk Management</t>
  </si>
  <si>
    <t>https://www.coursera.org/learn/image-super-resolution-autoencoders-keras</t>
  </si>
  <si>
    <t>Image Super Resolution Using Autoencoders in Keras</t>
  </si>
  <si>
    <t>https://www.coursera.org/learn/getting-started-in-google-analytics</t>
  </si>
  <si>
    <t>Getting Started in Google Analytics</t>
  </si>
  <si>
    <t>https://www.coursera.org/learn/data-exploration-spark-sql</t>
  </si>
  <si>
    <t>Explore stock prices with Spark SQL</t>
  </si>
  <si>
    <t>https://www.coursera.org/learn/introduction-to-dplyr</t>
  </si>
  <si>
    <t>Build Data Analysis tools using R and DPLYR</t>
  </si>
  <si>
    <t>https://www.coursera.org/learn/dimensionality-reduction-autoencoder-python</t>
  </si>
  <si>
    <t xml:space="preserve">Dimensionality Reduction using an Autoencoder in Python </t>
  </si>
  <si>
    <t>https://www.coursera.org/learn/deploy-models-tensorflow-serving-flask</t>
  </si>
  <si>
    <t>Deploy Models with TensorFlow Serving and Flask</t>
  </si>
  <si>
    <t>https://www.coursera.org/learn/intro-natural-language-processing-nlp-python</t>
  </si>
  <si>
    <t>Introduction to Natural Language Processing in Python</t>
  </si>
  <si>
    <t>https://www.coursera.org/learn/shiny-to-plot-differential-gene-expression</t>
  </si>
  <si>
    <t>Using Shiny to Plot Differential Gene Expression</t>
  </si>
  <si>
    <t>https://www.coursera.org/learn/neural-network-tensorflow</t>
  </si>
  <si>
    <t>Neural Network from Scratch in TensorFlow</t>
  </si>
  <si>
    <t>https://www.coursera.org/learn/create-buy-signal-filter-using-r-quantmod-package</t>
  </si>
  <si>
    <t>Stock Analysis:  Create a Buy Signal Filter using R and the Quantmod Package</t>
  </si>
  <si>
    <t>https://www.coursera.org/learn/principal-component-analysis-numpy</t>
  </si>
  <si>
    <t>Principal Component Analysis with NumPy</t>
  </si>
  <si>
    <t>https://www.coursera.org/learn/facial-key-point-detection</t>
  </si>
  <si>
    <t>Emotion AI: Facial Key-points Detection</t>
  </si>
  <si>
    <t>https://www.coursera.org/learn/classification-trees-in-python</t>
  </si>
  <si>
    <t>Classification Trees in Python, From Start To Finish</t>
  </si>
  <si>
    <t>https://www.coursera.org/learn/basic-sentiment-analysis-tensorflow</t>
  </si>
  <si>
    <t>Basic Sentiment Analysis with TensorFlow</t>
  </si>
  <si>
    <t>https://www.coursera.org/learn/portfolio-optimization-markowitz-model</t>
  </si>
  <si>
    <t>Portfolio Optimization using Markowitz Model</t>
  </si>
  <si>
    <t>https://www.coursera.org/learn/multiple-table-sql-queries</t>
  </si>
  <si>
    <t>Retrieve Data with Multiple-Table SQL Queries</t>
  </si>
  <si>
    <t>https://www.coursera.org/learn/scikit-learn-multiple-linear-regression</t>
  </si>
  <si>
    <t>Multiple Linear Regression with scikit-learn</t>
  </si>
  <si>
    <t>https://www.coursera.org/learn/clustering-geolocation-data-intelligently-python</t>
  </si>
  <si>
    <t>Clustering Geolocation Data Intelligently in Python</t>
  </si>
  <si>
    <t>https://www.coursera.org/learn/classify-radio-signals-space-keras-cnn</t>
  </si>
  <si>
    <t>Classify Radio Signals from Space using Keras</t>
  </si>
  <si>
    <t>https://www.coursera.org/learn/spreadsheets-beginner-google-sheets</t>
  </si>
  <si>
    <t>Spreadsheets for Beginners using Google Sheets</t>
  </si>
  <si>
    <t>https://www.coursera.org/learn/machine-learning-university-admission</t>
  </si>
  <si>
    <t>University Admission Prediction Using Multiple Linear Regression</t>
  </si>
  <si>
    <t>https://www.coursera.org/learn/automatic-machine-learning-h2o-automl-python</t>
  </si>
  <si>
    <t>Automatic Machine Learning with H2O AutoML and Python</t>
  </si>
  <si>
    <t>https://www.coursera.org/learn/statistical-forecasting-techniques-in-google-sheets</t>
  </si>
  <si>
    <t>Statistical Forecasting Techniques in Google Sheets</t>
  </si>
  <si>
    <t>https://www.coursera.org/learn/image-classification-sagemaker</t>
  </si>
  <si>
    <t>Image Classification with Amazon Sagemaker</t>
  </si>
  <si>
    <t>https://www.coursera.org/learn/advanced-sql-retrieval-queries-in-sqlitestudio</t>
  </si>
  <si>
    <t>Advanced SQL Retrieval Queries in SQLiteStudio</t>
  </si>
  <si>
    <t>https://www.coursera.org/learn/tensorflow-serving-docker-model-deployment</t>
  </si>
  <si>
    <t>TensorFlow Serving with Docker for Model Deployment</t>
  </si>
  <si>
    <t>https://www.coursera.org/learn/python-pandas-merge-sort-filter</t>
  </si>
  <si>
    <t>Merge, Sort and Filter Data in Python Pandas</t>
  </si>
  <si>
    <t>https://www.coursera.org/learn/networkx</t>
  </si>
  <si>
    <t>Network Data Science with NetworkX and Python</t>
  </si>
  <si>
    <t>https://www.coursera.org/learn/scikit-learn-simple-linear-regression</t>
  </si>
  <si>
    <t>Predict Sales Revenue with scikit-learn</t>
  </si>
  <si>
    <t>https://www.coursera.org/learn/logistic-regression-numpy-python</t>
  </si>
  <si>
    <t>Logistic Regression with NumPy and Python</t>
  </si>
  <si>
    <t>https://www.coursera.org/learn/portfolio-diversification-correlation-matrix</t>
  </si>
  <si>
    <t>Portfolio Diversification using Correlation Matrix</t>
  </si>
  <si>
    <t>https://www.coursera.org/learn/predict-diabetes-with-a-random-forest-using-r</t>
  </si>
  <si>
    <t>Predict Diabetes with a Random Forest using R</t>
  </si>
  <si>
    <t>https://www.coursera.org/learn/simulating-viral-pandemic-in-python</t>
  </si>
  <si>
    <t>Simulating Viral Pandemics in Python</t>
  </si>
  <si>
    <t>https://www.coursera.org/learn/systems-network-kumu</t>
  </si>
  <si>
    <t>Introduction to Systems and Network Mapping with Kumu</t>
  </si>
  <si>
    <t>https://www.coursera.org/learn/convolution-text-classification-keras</t>
  </si>
  <si>
    <t>Convolutions for Text Classification with Keras</t>
  </si>
  <si>
    <t>https://www.coursera.org/learn/scrape-data-using-rvest-for-analytics</t>
  </si>
  <si>
    <t>Data Analytics:  Scraping Data using Hadley Wickam's Rvest package in R</t>
  </si>
  <si>
    <t>https://www.coursera.org/learn/tensorflow-tensorrt</t>
  </si>
  <si>
    <t>Optimize TensorFlow Models For Deployment with TensorRT</t>
  </si>
  <si>
    <t>https://www.coursera.org/learn/simple-recurrent-neural-network-keras</t>
  </si>
  <si>
    <t>Simple Recurrent Neural Network with Keras</t>
  </si>
  <si>
    <t>https://www.coursera.org/learn/spark-machine-learning-pipeline-python</t>
  </si>
  <si>
    <t>Building Machine Learning Pipelines in PySpark MLlib</t>
  </si>
  <si>
    <t>https://www.coursera.org/learn/create-technical-stock-charts-r-quantmod</t>
  </si>
  <si>
    <t>Create Technical Stock Charts Using R and Quantmod</t>
  </si>
  <si>
    <t>https://www.coursera.org/learn/language-classification</t>
  </si>
  <si>
    <t>Language Classification with Naive Bayes in Python</t>
  </si>
  <si>
    <t>https://www.coursera.org/learn/azure-machine-learning-studio-deep-learning-inference</t>
  </si>
  <si>
    <t>Deep Learning Inference with Azure ML Studio</t>
  </si>
  <si>
    <t>https://www.coursera.org/learn/charts-dashboard-google-sheets</t>
  </si>
  <si>
    <t>Create Charts and Dashboard using Google Sheets</t>
  </si>
  <si>
    <t>https://www.coursera.org/learn/python-hacks</t>
  </si>
  <si>
    <t>Python Tricks and Hacks for Productivity</t>
  </si>
  <si>
    <t>https://www.coursera.org/learn/analysis-of-variance-anova-in-google-sheets</t>
  </si>
  <si>
    <t>Analysis of Variance with ANOVA in Google Sheets</t>
  </si>
  <si>
    <t>https://www.coursera.org/learn/custom-callbacks-keras</t>
  </si>
  <si>
    <t>Creating Custom Callbacks in Keras</t>
  </si>
  <si>
    <t>https://www.coursera.org/learn/advanced-features-relational-database-table-sqlitestudio</t>
  </si>
  <si>
    <t>Advanced Features with Relational Database Tables Using SQLiteStudio</t>
  </si>
  <si>
    <t>https://www.coursera.org/learn/machine-learning-regression-yellowbrick</t>
  </si>
  <si>
    <t>Regression Analysis with Yellowbrick</t>
  </si>
  <si>
    <t>https://www.coursera.org/learn/machine-learning-model-yellowbrick</t>
  </si>
  <si>
    <t>Evaluate Machine Learning Models with Yellowbrick</t>
  </si>
  <si>
    <t>https://www.coursera.org/learn/pycaret-classification</t>
  </si>
  <si>
    <t>PyCaret: Anatomy of Classification</t>
  </si>
  <si>
    <t>https://www.coursera.org/learn/predict-gas-guzzlers-neural-net</t>
  </si>
  <si>
    <t>Predict Gas Guzzlers using a Neural Net Model on the MPG Data Set</t>
  </si>
  <si>
    <t>https://www.coursera.org/learn/predict-ideal-diamonds-with-a-random-forest-using-r</t>
  </si>
  <si>
    <t>Predict Ideal Diamonds over Good Diamonds using a Random Forest using R</t>
  </si>
  <si>
    <t>https://www.coursera.org/learn/impute-data-to-forecast-demand-in-google-sheets</t>
  </si>
  <si>
    <t>Impute Data to Forecast Demand in Google Sheets</t>
  </si>
  <si>
    <t>https://www.coursera.org/learn/grab-data-fast-with-vertical-and-horizontal-lookup-in-google-sheets</t>
  </si>
  <si>
    <t xml:space="preserve">Grab Data Fast with Vertical and Horizontal LOOKUP </t>
  </si>
  <si>
    <t>https://www.coursera.org/learn/calculating-descriptive-statistics-in-r</t>
  </si>
  <si>
    <t>Calculating Descriptive Statistics in R</t>
  </si>
  <si>
    <t>https://www.coursera.org/learn/tensorflow-for-ai-computer-vision-basics</t>
  </si>
  <si>
    <t>TensorFlow for AI: Computer Vision Basics</t>
  </si>
  <si>
    <t>https://www.coursera.org/learn/tensorflow-for-ai-get-to-know-tensorflow</t>
  </si>
  <si>
    <t>TensorFlow for AI: Get to Know Tensorflow</t>
  </si>
  <si>
    <t>Create Your First Automation Script Using Selenium and Java</t>
  </si>
  <si>
    <t>Real-time OCR &amp; Text Detection with Tensorflow, OpenCV and Tesseract</t>
  </si>
  <si>
    <t>web scrapping with beautifulsoup</t>
  </si>
  <si>
    <t>Create a Python Application using PyMongo and MongoDB Database</t>
  </si>
  <si>
    <t>Image Compression with K-Means Clustering</t>
  </si>
  <si>
    <t>Dublicates</t>
  </si>
  <si>
    <t>Machine Learning;  Predict Numbers from Handwritten Digits using a Neural Network, Keras, and R</t>
  </si>
  <si>
    <t/>
  </si>
  <si>
    <t xml:space="preserve">Explainable AI; Scene Classification and GradCam Visualization </t>
  </si>
  <si>
    <t>Machine Learning;  Predict Poisonous Mushrooms using a Random Forest Model and the FFTrees Package in R</t>
  </si>
  <si>
    <t>Machine Learning; Create a Neural Network that Predicts whether an Image is a Car or Airplane.</t>
  </si>
  <si>
    <t>Traffic Sign Classification Using Deep Learning in Python and Keras</t>
  </si>
  <si>
    <t>Deep Learning NLP; Training GPT-2 from scratch</t>
  </si>
  <si>
    <t>TensorFlow for AI; Computer Vision Basics</t>
  </si>
  <si>
    <t>TensorFlow for AI; Get to Know Tensorflow</t>
  </si>
  <si>
    <t>Computer Vision; Neural Transfer Style &amp; Green Screen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</si>
</sst>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4" fillId="0" borderId="0" xfId="0" applyFont="1"/>
    <xf numFmtId="0" fontId="0" fillId="0" borderId="0" xfId="0" applyFill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215"/>
  <sheetViews>
    <sheetView topLeftCell="B188" workbookViewId="0">
      <selection activeCell="K3" sqref="K3"/>
    </sheetView>
  </sheetViews>
  <sheetFormatPr defaultRowHeight="15" x14ac:dyDescent="0.25"/>
  <cols>
    <col min="3" max="3" width="69.7109375" customWidth="1"/>
    <col min="9" max="9" width="11.28515625" customWidth="1"/>
    <col min="10" max="10" width="32.85546875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445</v>
      </c>
    </row>
    <row r="2" spans="1:11" hidden="1" x14ac:dyDescent="0.25">
      <c r="A2" s="1">
        <v>1</v>
      </c>
      <c r="B2" s="1" t="s">
        <v>13</v>
      </c>
      <c r="C2" s="1" t="s">
        <v>14</v>
      </c>
      <c r="D2" s="1" t="s">
        <v>15</v>
      </c>
      <c r="E2" s="1">
        <v>1</v>
      </c>
      <c r="F2" s="1" t="s">
        <v>11</v>
      </c>
      <c r="G2" s="1" t="s">
        <v>12</v>
      </c>
      <c r="H2" s="1">
        <v>4.5999999999999996</v>
      </c>
      <c r="I2" s="1">
        <v>260</v>
      </c>
      <c r="J2" t="s">
        <v>440</v>
      </c>
      <c r="K2" t="str">
        <f>IF(J2="","",IF(COUNTIF($C2:C215,J2)=1,J2,""))</f>
        <v/>
      </c>
    </row>
    <row r="3" spans="1:11" s="1" customFormat="1" x14ac:dyDescent="0.25">
      <c r="A3">
        <v>0</v>
      </c>
      <c r="B3" t="s">
        <v>8</v>
      </c>
      <c r="C3" t="s">
        <v>9</v>
      </c>
      <c r="D3" t="s">
        <v>10</v>
      </c>
      <c r="E3">
        <v>2</v>
      </c>
      <c r="F3" t="s">
        <v>11</v>
      </c>
      <c r="G3" t="s">
        <v>12</v>
      </c>
      <c r="H3">
        <v>4.9000000000000004</v>
      </c>
      <c r="I3">
        <v>8</v>
      </c>
      <c r="J3" t="s">
        <v>305</v>
      </c>
      <c r="K3" t="str">
        <f>IF(J3="","",IF(COUNTIF($C3:C216,J3)=1,J3,""))</f>
        <v>Intermediate Pandas Python Library for Data Science</v>
      </c>
    </row>
    <row r="4" spans="1:11" x14ac:dyDescent="0.25">
      <c r="A4">
        <v>2</v>
      </c>
      <c r="B4" t="s">
        <v>16</v>
      </c>
      <c r="C4" t="s">
        <v>17</v>
      </c>
      <c r="D4" t="s">
        <v>15</v>
      </c>
      <c r="E4">
        <v>1</v>
      </c>
      <c r="F4" t="s">
        <v>11</v>
      </c>
      <c r="G4" t="s">
        <v>12</v>
      </c>
      <c r="H4">
        <v>4.7</v>
      </c>
      <c r="I4">
        <v>21</v>
      </c>
      <c r="J4" s="1" t="s">
        <v>293</v>
      </c>
      <c r="K4" t="str">
        <f>IF(J4="","",IF(COUNTIF($C4:C217,J4)=1,J4,""))</f>
        <v>Linear Regression with NumPy and Python</v>
      </c>
    </row>
    <row r="5" spans="1:11" x14ac:dyDescent="0.25">
      <c r="A5">
        <v>3</v>
      </c>
      <c r="B5" t="s">
        <v>18</v>
      </c>
      <c r="C5" t="s">
        <v>19</v>
      </c>
      <c r="D5" t="s">
        <v>10</v>
      </c>
      <c r="E5">
        <v>1</v>
      </c>
      <c r="F5" t="s">
        <v>11</v>
      </c>
      <c r="G5" t="s">
        <v>12</v>
      </c>
      <c r="H5">
        <v>4.2</v>
      </c>
      <c r="I5">
        <v>16</v>
      </c>
      <c r="J5" t="s">
        <v>55</v>
      </c>
      <c r="K5" t="str">
        <f>IF(J5="","",IF(COUNTIF($C5:C218,J5)=1,J5,""))</f>
        <v>Linear Regression with Python</v>
      </c>
    </row>
    <row r="6" spans="1:11" x14ac:dyDescent="0.25">
      <c r="A6">
        <v>4</v>
      </c>
      <c r="B6" t="s">
        <v>20</v>
      </c>
      <c r="C6" t="s">
        <v>21</v>
      </c>
      <c r="D6" t="s">
        <v>10</v>
      </c>
      <c r="E6">
        <v>1</v>
      </c>
      <c r="F6" t="s">
        <v>11</v>
      </c>
      <c r="G6" t="s">
        <v>12</v>
      </c>
      <c r="H6">
        <v>4.5999999999999996</v>
      </c>
      <c r="I6">
        <v>160</v>
      </c>
      <c r="J6" t="s">
        <v>379</v>
      </c>
      <c r="K6" t="str">
        <f>IF(J6="","",IF(COUNTIF($C6:C219,J6)=1,J6,""))</f>
        <v>Merge, Sort and Filter Data in Python Pandas</v>
      </c>
    </row>
    <row r="7" spans="1:11" x14ac:dyDescent="0.25">
      <c r="A7">
        <v>5</v>
      </c>
      <c r="B7" t="s">
        <v>22</v>
      </c>
      <c r="C7" t="s">
        <v>23</v>
      </c>
      <c r="D7" t="s">
        <v>10</v>
      </c>
      <c r="E7">
        <v>1</v>
      </c>
      <c r="F7" t="s">
        <v>11</v>
      </c>
      <c r="G7" t="s">
        <v>12</v>
      </c>
      <c r="H7">
        <v>4.3</v>
      </c>
      <c r="I7">
        <v>68</v>
      </c>
      <c r="J7" t="s">
        <v>266</v>
      </c>
      <c r="K7" t="str">
        <f>IF(J7="","",IF(COUNTIF($C7:C220,J7)=1,J7,""))</f>
        <v>Pandas Python Library for Beginners in Data Science</v>
      </c>
    </row>
    <row r="8" spans="1:11" x14ac:dyDescent="0.25">
      <c r="A8">
        <v>6</v>
      </c>
      <c r="B8" t="s">
        <v>24</v>
      </c>
      <c r="C8" t="s">
        <v>25</v>
      </c>
      <c r="D8" t="s">
        <v>15</v>
      </c>
      <c r="E8">
        <v>1</v>
      </c>
      <c r="F8" t="s">
        <v>11</v>
      </c>
      <c r="G8" t="s">
        <v>12</v>
      </c>
      <c r="H8">
        <v>4.8</v>
      </c>
      <c r="I8">
        <v>10</v>
      </c>
      <c r="J8" t="s">
        <v>441</v>
      </c>
      <c r="K8" t="str">
        <f>IF(J8="","",IF(COUNTIF($C8:C221,J8)=1,J8,""))</f>
        <v/>
      </c>
    </row>
    <row r="9" spans="1:11" x14ac:dyDescent="0.25">
      <c r="A9">
        <v>7</v>
      </c>
      <c r="B9" t="s">
        <v>26</v>
      </c>
      <c r="C9" t="s">
        <v>27</v>
      </c>
      <c r="D9" t="s">
        <v>10</v>
      </c>
      <c r="E9">
        <v>1</v>
      </c>
      <c r="F9" t="s">
        <v>11</v>
      </c>
      <c r="G9" t="s">
        <v>12</v>
      </c>
      <c r="H9">
        <v>4.7</v>
      </c>
      <c r="I9">
        <v>60</v>
      </c>
      <c r="J9" t="s">
        <v>442</v>
      </c>
      <c r="K9" t="str">
        <f>IF(J9="","",IF(COUNTIF($C9:C222,J9)=1,J9,""))</f>
        <v/>
      </c>
    </row>
    <row r="10" spans="1:11" x14ac:dyDescent="0.25">
      <c r="A10">
        <v>8</v>
      </c>
      <c r="B10" t="s">
        <v>28</v>
      </c>
      <c r="C10" t="s">
        <v>29</v>
      </c>
      <c r="D10" t="s">
        <v>10</v>
      </c>
      <c r="E10">
        <v>1</v>
      </c>
      <c r="F10" t="s">
        <v>11</v>
      </c>
      <c r="G10" t="s">
        <v>12</v>
      </c>
      <c r="H10">
        <v>4.8</v>
      </c>
      <c r="I10">
        <v>23</v>
      </c>
      <c r="J10" t="s">
        <v>232</v>
      </c>
      <c r="K10" t="str">
        <f>IF(J10="","",IF(COUNTIF($C10:C223,J10)=1,J10,""))</f>
        <v>Build a Data Science Web App with Streamlit and Python</v>
      </c>
    </row>
    <row r="11" spans="1:11" x14ac:dyDescent="0.25">
      <c r="A11">
        <v>9</v>
      </c>
      <c r="B11" t="s">
        <v>30</v>
      </c>
      <c r="C11" t="s">
        <v>31</v>
      </c>
      <c r="D11" t="s">
        <v>10</v>
      </c>
      <c r="E11">
        <v>1</v>
      </c>
      <c r="F11" t="s">
        <v>11</v>
      </c>
      <c r="G11" t="s">
        <v>12</v>
      </c>
      <c r="H11">
        <v>4.5999999999999996</v>
      </c>
      <c r="I11">
        <v>78</v>
      </c>
      <c r="J11" t="s">
        <v>272</v>
      </c>
      <c r="K11" t="str">
        <f>IF(J11="","",IF(COUNTIF($C11:C224,J11)=1,J11,""))</f>
        <v>Computer Vision - Image Basics with OpenCV and Python</v>
      </c>
    </row>
    <row r="12" spans="1:11" x14ac:dyDescent="0.25">
      <c r="A12">
        <v>10</v>
      </c>
      <c r="B12" t="s">
        <v>32</v>
      </c>
      <c r="C12" t="s">
        <v>33</v>
      </c>
      <c r="D12" t="s">
        <v>10</v>
      </c>
      <c r="E12">
        <v>1</v>
      </c>
      <c r="F12" t="s">
        <v>11</v>
      </c>
      <c r="G12" t="s">
        <v>12</v>
      </c>
      <c r="H12">
        <v>4.3</v>
      </c>
      <c r="I12">
        <v>29</v>
      </c>
      <c r="J12" t="s">
        <v>443</v>
      </c>
      <c r="K12" t="str">
        <f>IF(J12="","",IF(COUNTIF($C12:C225,J12)=1,J12,""))</f>
        <v/>
      </c>
    </row>
    <row r="13" spans="1:11" x14ac:dyDescent="0.25">
      <c r="A13">
        <v>11</v>
      </c>
      <c r="B13" t="s">
        <v>34</v>
      </c>
      <c r="C13" t="s">
        <v>35</v>
      </c>
      <c r="D13" t="s">
        <v>15</v>
      </c>
      <c r="E13">
        <v>1</v>
      </c>
      <c r="F13" t="s">
        <v>11</v>
      </c>
      <c r="G13" t="s">
        <v>12</v>
      </c>
      <c r="H13">
        <v>4.5</v>
      </c>
      <c r="I13">
        <v>28</v>
      </c>
      <c r="J13" t="s">
        <v>295</v>
      </c>
      <c r="K13" t="str">
        <f>IF(J13="","",IF(COUNTIF($C13:C226,J13)=1,J13,""))</f>
        <v>Image Classification with CNNs using Keras</v>
      </c>
    </row>
    <row r="14" spans="1:11" x14ac:dyDescent="0.25">
      <c r="A14">
        <v>12</v>
      </c>
      <c r="B14" t="s">
        <v>36</v>
      </c>
      <c r="C14" t="s">
        <v>37</v>
      </c>
      <c r="D14" t="s">
        <v>10</v>
      </c>
      <c r="E14">
        <v>1</v>
      </c>
      <c r="F14" t="s">
        <v>11</v>
      </c>
      <c r="G14" t="s">
        <v>12</v>
      </c>
      <c r="H14">
        <v>4.0999999999999996</v>
      </c>
      <c r="I14">
        <v>45</v>
      </c>
      <c r="J14" t="s">
        <v>337</v>
      </c>
      <c r="K14" t="str">
        <f>IF(J14="","",IF(COUNTIF($C14:C227,J14)=1,J14,""))</f>
        <v>Deploy Models with TensorFlow Serving and Flask</v>
      </c>
    </row>
    <row r="15" spans="1:11" x14ac:dyDescent="0.25">
      <c r="A15">
        <v>13</v>
      </c>
      <c r="B15" t="s">
        <v>38</v>
      </c>
      <c r="C15" t="s">
        <v>39</v>
      </c>
      <c r="D15" t="s">
        <v>15</v>
      </c>
      <c r="E15">
        <v>1</v>
      </c>
      <c r="F15" t="s">
        <v>11</v>
      </c>
      <c r="G15" t="s">
        <v>12</v>
      </c>
      <c r="H15">
        <v>4.7</v>
      </c>
      <c r="I15">
        <v>97</v>
      </c>
      <c r="J15" t="s">
        <v>417</v>
      </c>
      <c r="K15" t="str">
        <f>IF(J15="","",IF(COUNTIF($C15:C228,J15)=1,J15,""))</f>
        <v>Creating Custom Callbacks in Keras</v>
      </c>
    </row>
    <row r="16" spans="1:11" x14ac:dyDescent="0.25">
      <c r="A16">
        <v>14</v>
      </c>
      <c r="B16" t="s">
        <v>40</v>
      </c>
      <c r="C16" t="s">
        <v>41</v>
      </c>
      <c r="D16" t="s">
        <v>10</v>
      </c>
      <c r="E16">
        <v>1</v>
      </c>
      <c r="F16" t="s">
        <v>11</v>
      </c>
      <c r="G16" t="s">
        <v>12</v>
      </c>
      <c r="H16">
        <v>4.4000000000000004</v>
      </c>
      <c r="I16">
        <v>159</v>
      </c>
      <c r="J16" t="s">
        <v>160</v>
      </c>
      <c r="K16" t="str">
        <f>IF(J16="","",IF(COUNTIF($C16:C229,J16)=1,J16,""))</f>
        <v>Create Custom Layers in Keras</v>
      </c>
    </row>
    <row r="17" spans="1:11" hidden="1" x14ac:dyDescent="0.25">
      <c r="A17">
        <v>15</v>
      </c>
      <c r="B17" t="s">
        <v>42</v>
      </c>
      <c r="C17" t="s">
        <v>43</v>
      </c>
      <c r="D17" t="s">
        <v>10</v>
      </c>
      <c r="E17">
        <v>1</v>
      </c>
      <c r="F17" t="s">
        <v>11</v>
      </c>
      <c r="G17" t="s">
        <v>12</v>
      </c>
      <c r="H17">
        <v>4.4000000000000004</v>
      </c>
      <c r="I17">
        <v>221</v>
      </c>
      <c r="J17" t="s">
        <v>75</v>
      </c>
      <c r="K17" t="str">
        <f>IF(J17="","",IF(COUNTIF($C17:C230,J17)=1,J17,""))</f>
        <v>Classification with Transfer Learning in Keras</v>
      </c>
    </row>
    <row r="18" spans="1:11" x14ac:dyDescent="0.25">
      <c r="A18">
        <v>16</v>
      </c>
      <c r="B18" t="s">
        <v>44</v>
      </c>
      <c r="C18" t="s">
        <v>45</v>
      </c>
      <c r="D18" t="s">
        <v>10</v>
      </c>
      <c r="E18">
        <v>1</v>
      </c>
      <c r="F18" t="s">
        <v>11</v>
      </c>
      <c r="G18" t="s">
        <v>12</v>
      </c>
      <c r="H18">
        <v>4.4000000000000004</v>
      </c>
      <c r="I18">
        <v>16</v>
      </c>
      <c r="J18" t="s">
        <v>301</v>
      </c>
      <c r="K18" t="str">
        <f>IF(J18="","",IF(COUNTIF($C18:C231,J18)=1,J18,""))</f>
        <v>Understanding Deepfakes with Keras</v>
      </c>
    </row>
    <row r="19" spans="1:11" x14ac:dyDescent="0.25">
      <c r="A19">
        <v>17</v>
      </c>
      <c r="B19" t="s">
        <v>46</v>
      </c>
      <c r="C19" t="s">
        <v>47</v>
      </c>
      <c r="D19" t="s">
        <v>15</v>
      </c>
      <c r="E19">
        <v>1</v>
      </c>
      <c r="F19" t="s">
        <v>11</v>
      </c>
      <c r="G19" t="s">
        <v>12</v>
      </c>
      <c r="H19">
        <v>4.4000000000000004</v>
      </c>
      <c r="I19">
        <v>45</v>
      </c>
      <c r="J19" t="s">
        <v>285</v>
      </c>
      <c r="K19" t="str">
        <f>IF(J19="","",IF(COUNTIF($C19:C232,J19)=1,J19,""))</f>
        <v>Siamese Network with Triplet Loss in Keras</v>
      </c>
    </row>
    <row r="20" spans="1:11" x14ac:dyDescent="0.25">
      <c r="A20">
        <v>18</v>
      </c>
      <c r="B20" t="s">
        <v>48</v>
      </c>
      <c r="C20" t="s">
        <v>49</v>
      </c>
      <c r="D20" t="s">
        <v>15</v>
      </c>
      <c r="E20">
        <v>1</v>
      </c>
      <c r="F20" t="s">
        <v>11</v>
      </c>
      <c r="G20" t="s">
        <v>12</v>
      </c>
      <c r="H20">
        <v>4.5</v>
      </c>
      <c r="I20">
        <v>41</v>
      </c>
      <c r="J20" t="s">
        <v>117</v>
      </c>
      <c r="K20" t="str">
        <f>IF(J20="","",IF(COUNTIF($C20:C233,J20)=1,J20,""))</f>
        <v>Analyze Box Office Data with Seaborn and Python</v>
      </c>
    </row>
    <row r="21" spans="1:11" x14ac:dyDescent="0.25">
      <c r="A21">
        <v>19</v>
      </c>
      <c r="B21" t="s">
        <v>50</v>
      </c>
      <c r="C21" t="s">
        <v>51</v>
      </c>
      <c r="D21" t="s">
        <v>15</v>
      </c>
      <c r="E21">
        <v>1</v>
      </c>
      <c r="F21" t="s">
        <v>11</v>
      </c>
      <c r="G21" t="s">
        <v>12</v>
      </c>
      <c r="H21">
        <v>4.3</v>
      </c>
      <c r="I21">
        <v>112</v>
      </c>
      <c r="J21" t="s">
        <v>317</v>
      </c>
      <c r="K21" t="str">
        <f>IF(J21="","",IF(COUNTIF($C21:C234,J21)=1,J21,""))</f>
        <v>Data Visualization with Plotly Express</v>
      </c>
    </row>
    <row r="22" spans="1:11" x14ac:dyDescent="0.25">
      <c r="A22">
        <v>20</v>
      </c>
      <c r="B22" t="s">
        <v>52</v>
      </c>
      <c r="C22" t="s">
        <v>53</v>
      </c>
      <c r="D22" t="s">
        <v>15</v>
      </c>
      <c r="E22">
        <v>1</v>
      </c>
      <c r="F22" t="s">
        <v>11</v>
      </c>
      <c r="G22" t="s">
        <v>12</v>
      </c>
      <c r="H22">
        <v>4.7</v>
      </c>
      <c r="I22">
        <v>32</v>
      </c>
      <c r="J22" t="s">
        <v>299</v>
      </c>
      <c r="K22" t="str">
        <f>IF(J22="","",IF(COUNTIF($C22:C235,J22)=1,J22,""))</f>
        <v>Exploratory Data Analysis with Seaborn</v>
      </c>
    </row>
    <row r="23" spans="1:11" hidden="1" x14ac:dyDescent="0.25">
      <c r="A23">
        <v>21</v>
      </c>
      <c r="B23" t="s">
        <v>54</v>
      </c>
      <c r="C23" t="s">
        <v>55</v>
      </c>
      <c r="D23" t="s">
        <v>10</v>
      </c>
      <c r="E23">
        <v>1</v>
      </c>
      <c r="F23" t="s">
        <v>11</v>
      </c>
      <c r="G23" t="s">
        <v>12</v>
      </c>
      <c r="H23">
        <v>4.5</v>
      </c>
      <c r="I23">
        <v>368</v>
      </c>
      <c r="J23" t="s">
        <v>303</v>
      </c>
      <c r="K23" t="str">
        <f>IF(J23="","",IF(COUNTIF($C23:C236,J23)=1,J23,""))</f>
        <v>Statistical Data Visualization with Seaborn</v>
      </c>
    </row>
    <row r="24" spans="1:11" x14ac:dyDescent="0.25">
      <c r="A24">
        <v>22</v>
      </c>
      <c r="B24" t="s">
        <v>56</v>
      </c>
      <c r="C24" t="s">
        <v>57</v>
      </c>
      <c r="D24" t="s">
        <v>10</v>
      </c>
      <c r="E24">
        <v>1</v>
      </c>
      <c r="F24" t="s">
        <v>11</v>
      </c>
      <c r="G24" t="s">
        <v>12</v>
      </c>
      <c r="H24">
        <v>4.5999999999999996</v>
      </c>
      <c r="I24">
        <v>9</v>
      </c>
      <c r="J24" t="s">
        <v>83</v>
      </c>
      <c r="K24" t="str">
        <f>IF(J24="","",IF(COUNTIF($C24:C237,J24)=1,J24,""))</f>
        <v>Analyze Box Office Data with Plotly and Python</v>
      </c>
    </row>
    <row r="25" spans="1:11" x14ac:dyDescent="0.25">
      <c r="A25">
        <v>23</v>
      </c>
      <c r="B25" t="s">
        <v>58</v>
      </c>
      <c r="C25" t="s">
        <v>59</v>
      </c>
      <c r="D25" t="s">
        <v>15</v>
      </c>
      <c r="E25">
        <v>1</v>
      </c>
      <c r="F25" t="s">
        <v>11</v>
      </c>
      <c r="G25" t="s">
        <v>12</v>
      </c>
      <c r="H25">
        <v>4.9000000000000004</v>
      </c>
      <c r="I25">
        <v>11</v>
      </c>
      <c r="J25" t="s">
        <v>307</v>
      </c>
      <c r="K25" t="str">
        <f>IF(J25="","",IF(COUNTIF($C25:C238,J25)=1,J25,""))</f>
        <v>Perform Sentiment Analysis with scikit-learn</v>
      </c>
    </row>
    <row r="26" spans="1:11" x14ac:dyDescent="0.25">
      <c r="A26">
        <v>24</v>
      </c>
      <c r="B26" t="s">
        <v>60</v>
      </c>
      <c r="C26" t="s">
        <v>61</v>
      </c>
      <c r="D26" t="s">
        <v>10</v>
      </c>
      <c r="E26">
        <v>1</v>
      </c>
      <c r="F26" t="s">
        <v>11</v>
      </c>
      <c r="G26" t="s">
        <v>12</v>
      </c>
      <c r="H26">
        <v>4.5999999999999996</v>
      </c>
      <c r="I26">
        <v>302</v>
      </c>
      <c r="J26" t="s">
        <v>43</v>
      </c>
      <c r="K26" t="str">
        <f>IF(J26="","",IF(COUNTIF($C26:C239,J26)=1,J26,""))</f>
        <v/>
      </c>
    </row>
    <row r="27" spans="1:11" x14ac:dyDescent="0.25">
      <c r="A27">
        <v>25</v>
      </c>
      <c r="B27" t="s">
        <v>62</v>
      </c>
      <c r="C27" t="s">
        <v>63</v>
      </c>
      <c r="D27" t="s">
        <v>15</v>
      </c>
      <c r="E27">
        <v>1</v>
      </c>
      <c r="F27" t="s">
        <v>11</v>
      </c>
      <c r="G27" t="s">
        <v>12</v>
      </c>
      <c r="H27">
        <v>4.5999999999999996</v>
      </c>
      <c r="I27">
        <v>17</v>
      </c>
      <c r="J27" t="s">
        <v>383</v>
      </c>
      <c r="K27" t="str">
        <f>IF(J27="","",IF(COUNTIF($C27:C240,J27)=1,J27,""))</f>
        <v>Predict Sales Revenue with scikit-learn</v>
      </c>
    </row>
    <row r="28" spans="1:11" x14ac:dyDescent="0.25">
      <c r="A28">
        <v>26</v>
      </c>
      <c r="B28" t="s">
        <v>64</v>
      </c>
      <c r="C28" t="s">
        <v>65</v>
      </c>
      <c r="D28" t="s">
        <v>15</v>
      </c>
      <c r="E28">
        <v>1</v>
      </c>
      <c r="F28" t="s">
        <v>11</v>
      </c>
      <c r="G28" t="s">
        <v>12</v>
      </c>
      <c r="H28">
        <v>4.7</v>
      </c>
      <c r="I28">
        <v>66</v>
      </c>
      <c r="J28" t="s">
        <v>444</v>
      </c>
      <c r="K28" t="str">
        <f>IF(J28="","",IF(COUNTIF($C28:C241,J28)=1,J28,""))</f>
        <v/>
      </c>
    </row>
    <row r="29" spans="1:11" hidden="1" x14ac:dyDescent="0.25">
      <c r="A29">
        <v>27</v>
      </c>
      <c r="B29" t="s">
        <v>66</v>
      </c>
      <c r="C29" t="s">
        <v>67</v>
      </c>
      <c r="D29" t="s">
        <v>10</v>
      </c>
      <c r="E29">
        <v>1</v>
      </c>
      <c r="F29" t="s">
        <v>11</v>
      </c>
      <c r="G29" t="s">
        <v>12</v>
      </c>
      <c r="H29">
        <v>4.5999999999999996</v>
      </c>
      <c r="I29">
        <v>83</v>
      </c>
      <c r="J29" t="s">
        <v>359</v>
      </c>
      <c r="K29" t="str">
        <f>IF(J29="","",IF(COUNTIF($C29:C242,J29)=1,J29,""))</f>
        <v>Multiple Linear Regression with scikit-learn</v>
      </c>
    </row>
    <row r="30" spans="1:11" x14ac:dyDescent="0.25">
      <c r="A30">
        <v>28</v>
      </c>
      <c r="B30" t="s">
        <v>68</v>
      </c>
      <c r="C30" t="s">
        <v>69</v>
      </c>
      <c r="D30" t="s">
        <v>10</v>
      </c>
      <c r="E30">
        <v>1</v>
      </c>
      <c r="F30" t="s">
        <v>11</v>
      </c>
      <c r="G30" t="s">
        <v>12</v>
      </c>
      <c r="H30">
        <v>4.5</v>
      </c>
      <c r="I30">
        <v>24</v>
      </c>
      <c r="J30" t="s">
        <v>212</v>
      </c>
      <c r="K30" t="str">
        <f>IF(J30="","",IF(COUNTIF($C30:C243,J30)=1,J30,""))</f>
        <v/>
      </c>
    </row>
    <row r="31" spans="1:11" hidden="1" x14ac:dyDescent="0.25">
      <c r="A31">
        <v>29</v>
      </c>
      <c r="B31" t="s">
        <v>70</v>
      </c>
      <c r="C31" t="s">
        <v>71</v>
      </c>
      <c r="D31" t="s">
        <v>10</v>
      </c>
      <c r="E31">
        <v>1</v>
      </c>
      <c r="F31" t="s">
        <v>11</v>
      </c>
      <c r="G31" t="s">
        <v>12</v>
      </c>
      <c r="H31">
        <v>4.7</v>
      </c>
      <c r="I31">
        <v>93</v>
      </c>
      <c r="J31" t="s">
        <v>138</v>
      </c>
      <c r="K31" t="str">
        <f>IF(J31="","",IF(COUNTIF($C31:C244,J31)=1,J31,""))</f>
        <v>Analyze Text Data with Yellowbrick</v>
      </c>
    </row>
    <row r="32" spans="1:11" x14ac:dyDescent="0.25">
      <c r="A32">
        <v>30</v>
      </c>
      <c r="B32" t="s">
        <v>72</v>
      </c>
      <c r="C32" t="s">
        <v>73</v>
      </c>
      <c r="D32" t="s">
        <v>15</v>
      </c>
      <c r="E32">
        <v>1</v>
      </c>
      <c r="F32" t="s">
        <v>11</v>
      </c>
      <c r="G32" t="s">
        <v>12</v>
      </c>
      <c r="H32">
        <v>3.9</v>
      </c>
      <c r="I32">
        <v>63</v>
      </c>
      <c r="J32" t="s">
        <v>423</v>
      </c>
      <c r="K32" t="str">
        <f>IF(J32="","",IF(COUNTIF($C32:C245,J32)=1,J32,""))</f>
        <v>Evaluate Machine Learning Models with Yellowbrick</v>
      </c>
    </row>
    <row r="33" spans="1:11" hidden="1" x14ac:dyDescent="0.25">
      <c r="A33">
        <v>31</v>
      </c>
      <c r="B33" t="s">
        <v>74</v>
      </c>
      <c r="C33" t="s">
        <v>75</v>
      </c>
      <c r="D33" t="s">
        <v>10</v>
      </c>
      <c r="E33">
        <v>1</v>
      </c>
      <c r="F33" t="s">
        <v>11</v>
      </c>
      <c r="G33" t="s">
        <v>12</v>
      </c>
      <c r="H33">
        <v>4.5</v>
      </c>
      <c r="I33">
        <v>129</v>
      </c>
      <c r="J33" t="s">
        <v>168</v>
      </c>
      <c r="K33" t="str">
        <f>IF(J33="","",IF(COUNTIF($C33:C246,J33)=1,J33,""))</f>
        <v>Perform Feature Analysis with Yellowbrick</v>
      </c>
    </row>
    <row r="34" spans="1:11" x14ac:dyDescent="0.25">
      <c r="A34">
        <v>32</v>
      </c>
      <c r="B34" t="s">
        <v>76</v>
      </c>
      <c r="C34" t="s">
        <v>77</v>
      </c>
      <c r="D34" t="s">
        <v>10</v>
      </c>
      <c r="E34">
        <v>1</v>
      </c>
      <c r="F34" t="s">
        <v>11</v>
      </c>
      <c r="G34" t="s">
        <v>12</v>
      </c>
      <c r="H34">
        <v>4.3</v>
      </c>
      <c r="I34">
        <v>14</v>
      </c>
      <c r="J34" t="s">
        <v>421</v>
      </c>
      <c r="K34" t="str">
        <f>IF(J34="","",IF(COUNTIF($C34:C247,J34)=1,J34,""))</f>
        <v>Regression Analysis with Yellowbrick</v>
      </c>
    </row>
    <row r="35" spans="1:11" x14ac:dyDescent="0.25">
      <c r="A35">
        <v>33</v>
      </c>
      <c r="B35" t="s">
        <v>78</v>
      </c>
      <c r="C35" t="s">
        <v>79</v>
      </c>
      <c r="D35" t="s">
        <v>15</v>
      </c>
      <c r="E35">
        <v>1</v>
      </c>
      <c r="F35" t="s">
        <v>11</v>
      </c>
      <c r="G35" t="s">
        <v>12</v>
      </c>
      <c r="H35">
        <v>4.5</v>
      </c>
      <c r="I35">
        <v>6</v>
      </c>
      <c r="J35" t="s">
        <v>67</v>
      </c>
      <c r="K35" t="str">
        <f>IF(J35="","",IF(COUNTIF($C35:C248,J35)=1,J35,""))</f>
        <v/>
      </c>
    </row>
    <row r="36" spans="1:11" x14ac:dyDescent="0.25">
      <c r="A36">
        <v>34</v>
      </c>
      <c r="B36" t="s">
        <v>80</v>
      </c>
      <c r="C36" t="s">
        <v>81</v>
      </c>
      <c r="D36" t="s">
        <v>10</v>
      </c>
      <c r="E36">
        <v>1</v>
      </c>
      <c r="F36" t="s">
        <v>11</v>
      </c>
      <c r="G36" t="s">
        <v>12</v>
      </c>
      <c r="H36">
        <v>4.5</v>
      </c>
      <c r="I36">
        <v>54</v>
      </c>
      <c r="J36" t="s">
        <v>401</v>
      </c>
      <c r="K36" t="str">
        <f>IF(J36="","",IF(COUNTIF($C36:C249,J36)=1,J36,""))</f>
        <v>Simple Recurrent Neural Network with Keras</v>
      </c>
    </row>
    <row r="37" spans="1:11" hidden="1" x14ac:dyDescent="0.25">
      <c r="A37">
        <v>35</v>
      </c>
      <c r="B37" t="s">
        <v>82</v>
      </c>
      <c r="C37" t="s">
        <v>83</v>
      </c>
      <c r="D37" t="s">
        <v>15</v>
      </c>
      <c r="E37">
        <v>1</v>
      </c>
      <c r="F37" t="s">
        <v>11</v>
      </c>
      <c r="G37" t="s">
        <v>12</v>
      </c>
      <c r="H37">
        <v>4.5</v>
      </c>
      <c r="I37">
        <v>205</v>
      </c>
      <c r="J37" t="s">
        <v>97</v>
      </c>
      <c r="K37" t="str">
        <f>IF(J37="","",IF(COUNTIF($C37:C250,J37)=1,J37,""))</f>
        <v>Avoid Overfitting Using Regularization in TensorFlow</v>
      </c>
    </row>
    <row r="38" spans="1:11" x14ac:dyDescent="0.25">
      <c r="A38">
        <v>36</v>
      </c>
      <c r="B38" t="s">
        <v>84</v>
      </c>
      <c r="C38" t="s">
        <v>85</v>
      </c>
      <c r="D38" t="s">
        <v>15</v>
      </c>
      <c r="E38">
        <v>1</v>
      </c>
      <c r="F38" t="s">
        <v>11</v>
      </c>
      <c r="G38" t="s">
        <v>12</v>
      </c>
      <c r="H38">
        <v>4.3</v>
      </c>
      <c r="I38">
        <v>281</v>
      </c>
      <c r="J38" t="s">
        <v>274</v>
      </c>
      <c r="K38" t="str">
        <f>IF(J38="","",IF(COUNTIF($C38:C251,J38)=1,J38,""))</f>
        <v>Basic Image Classification with TensorFlow</v>
      </c>
    </row>
    <row r="39" spans="1:11" x14ac:dyDescent="0.25">
      <c r="A39">
        <v>37</v>
      </c>
      <c r="B39" t="s">
        <v>86</v>
      </c>
      <c r="C39" t="s">
        <v>87</v>
      </c>
      <c r="D39" t="s">
        <v>10</v>
      </c>
      <c r="E39">
        <v>1</v>
      </c>
      <c r="F39" t="s">
        <v>11</v>
      </c>
      <c r="G39" t="s">
        <v>12</v>
      </c>
      <c r="H39">
        <v>4.2</v>
      </c>
      <c r="I39">
        <v>92</v>
      </c>
      <c r="J39" t="s">
        <v>353</v>
      </c>
      <c r="K39" t="str">
        <f>IF(J39="","",IF(COUNTIF($C39:C252,J39)=1,J39,""))</f>
        <v>Basic Sentiment Analysis with TensorFlow</v>
      </c>
    </row>
    <row r="40" spans="1:11" x14ac:dyDescent="0.25">
      <c r="A40">
        <v>38</v>
      </c>
      <c r="B40" t="s">
        <v>88</v>
      </c>
      <c r="C40" t="s">
        <v>89</v>
      </c>
      <c r="D40" t="s">
        <v>15</v>
      </c>
      <c r="E40">
        <v>1</v>
      </c>
      <c r="F40" t="s">
        <v>11</v>
      </c>
      <c r="G40" t="s">
        <v>12</v>
      </c>
      <c r="H40">
        <v>4.5999999999999996</v>
      </c>
      <c r="I40">
        <v>66</v>
      </c>
      <c r="J40" t="s">
        <v>71</v>
      </c>
      <c r="K40" t="str">
        <f>IF(J40="","",IF(COUNTIF($C40:C253,J40)=1,J40,""))</f>
        <v/>
      </c>
    </row>
    <row r="41" spans="1:11" x14ac:dyDescent="0.25">
      <c r="A41">
        <v>39</v>
      </c>
      <c r="B41" t="s">
        <v>90</v>
      </c>
      <c r="C41" t="s">
        <v>91</v>
      </c>
      <c r="D41" t="s">
        <v>10</v>
      </c>
      <c r="E41">
        <v>1</v>
      </c>
      <c r="F41" t="s">
        <v>11</v>
      </c>
      <c r="G41" t="s">
        <v>12</v>
      </c>
      <c r="H41">
        <v>4.5</v>
      </c>
      <c r="I41">
        <v>232</v>
      </c>
      <c r="J41" t="s">
        <v>343</v>
      </c>
      <c r="K41" t="str">
        <f>IF(J41="","",IF(COUNTIF($C41:C254,J41)=1,J41,""))</f>
        <v>Neural Network from Scratch in TensorFlow</v>
      </c>
    </row>
    <row r="42" spans="1:11" x14ac:dyDescent="0.25">
      <c r="A42">
        <v>40</v>
      </c>
      <c r="B42" t="s">
        <v>92</v>
      </c>
      <c r="C42" t="s">
        <v>93</v>
      </c>
      <c r="D42" t="s">
        <v>10</v>
      </c>
      <c r="E42">
        <v>1</v>
      </c>
      <c r="F42" t="s">
        <v>11</v>
      </c>
      <c r="G42" t="s">
        <v>12</v>
      </c>
      <c r="H42">
        <v>4.4000000000000004</v>
      </c>
      <c r="I42">
        <v>76</v>
      </c>
      <c r="J42" t="s">
        <v>166</v>
      </c>
      <c r="K42" t="str">
        <f>IF(J42="","",IF(COUNTIF($C42:C255,J42)=1,J42,""))</f>
        <v>Neural Style Transfer with TensorFlow</v>
      </c>
    </row>
    <row r="43" spans="1:11" x14ac:dyDescent="0.25">
      <c r="A43">
        <v>41</v>
      </c>
      <c r="B43" t="s">
        <v>94</v>
      </c>
      <c r="C43" t="s">
        <v>95</v>
      </c>
      <c r="D43" t="s">
        <v>10</v>
      </c>
      <c r="E43">
        <v>1</v>
      </c>
      <c r="F43" t="s">
        <v>11</v>
      </c>
      <c r="G43" t="s">
        <v>12</v>
      </c>
      <c r="H43">
        <v>4.7</v>
      </c>
      <c r="I43">
        <v>36</v>
      </c>
      <c r="J43" t="s">
        <v>287</v>
      </c>
      <c r="K43" t="str">
        <f>IF(J43="","",IF(COUNTIF($C43:C256,J43)=1,J43,""))</f>
        <v>Predicting House Prices with Regression using TensorFlow</v>
      </c>
    </row>
    <row r="44" spans="1:11" hidden="1" x14ac:dyDescent="0.25">
      <c r="A44">
        <v>42</v>
      </c>
      <c r="B44" t="s">
        <v>96</v>
      </c>
      <c r="C44" t="s">
        <v>97</v>
      </c>
      <c r="D44" t="s">
        <v>10</v>
      </c>
      <c r="E44">
        <v>1</v>
      </c>
      <c r="F44" t="s">
        <v>11</v>
      </c>
      <c r="G44" t="s">
        <v>12</v>
      </c>
      <c r="H44">
        <v>4.8</v>
      </c>
      <c r="I44">
        <v>64</v>
      </c>
      <c r="J44" t="s">
        <v>196</v>
      </c>
      <c r="K44" t="str">
        <f>IF(J44="","",IF(COUNTIF($C44:C257,J44)=1,J44,""))</f>
        <v>Regression with Automatic Differentiation in TensorFlow</v>
      </c>
    </row>
    <row r="45" spans="1:11" x14ac:dyDescent="0.25">
      <c r="A45">
        <v>43</v>
      </c>
      <c r="B45" t="s">
        <v>98</v>
      </c>
      <c r="C45" t="s">
        <v>99</v>
      </c>
      <c r="D45" t="s">
        <v>10</v>
      </c>
      <c r="E45">
        <v>1</v>
      </c>
      <c r="F45" t="s">
        <v>11</v>
      </c>
      <c r="G45" t="s">
        <v>12</v>
      </c>
      <c r="H45">
        <v>4.8</v>
      </c>
      <c r="I45">
        <v>26</v>
      </c>
      <c r="K45" t="str">
        <f>IF(J45="","",IF(COUNTIF($C45:C258,J45)=1,J45,""))</f>
        <v/>
      </c>
    </row>
    <row r="46" spans="1:11" x14ac:dyDescent="0.25">
      <c r="A46">
        <v>44</v>
      </c>
      <c r="B46" t="s">
        <v>100</v>
      </c>
      <c r="C46" t="s">
        <v>101</v>
      </c>
      <c r="D46" t="s">
        <v>10</v>
      </c>
      <c r="E46">
        <v>3</v>
      </c>
      <c r="F46" t="s">
        <v>11</v>
      </c>
      <c r="G46" t="s">
        <v>12</v>
      </c>
      <c r="H46">
        <v>5</v>
      </c>
      <c r="I46">
        <v>2</v>
      </c>
      <c r="K46" t="str">
        <f>IF(J46="","",IF(COUNTIF($C46:C259,J46)=1,J46,""))</f>
        <v/>
      </c>
    </row>
    <row r="47" spans="1:11" x14ac:dyDescent="0.25">
      <c r="A47">
        <v>45</v>
      </c>
      <c r="B47" t="s">
        <v>102</v>
      </c>
      <c r="C47" t="s">
        <v>103</v>
      </c>
      <c r="D47" t="s">
        <v>10</v>
      </c>
      <c r="E47">
        <v>1</v>
      </c>
      <c r="F47" t="s">
        <v>11</v>
      </c>
      <c r="G47" t="s">
        <v>12</v>
      </c>
      <c r="H47">
        <v>4.7</v>
      </c>
      <c r="I47">
        <v>32</v>
      </c>
      <c r="K47" t="str">
        <f>IF(J47="","",IF(COUNTIF($C47:C260,J47)=1,J47,""))</f>
        <v/>
      </c>
    </row>
    <row r="48" spans="1:11" x14ac:dyDescent="0.25">
      <c r="A48">
        <v>46</v>
      </c>
      <c r="B48" t="s">
        <v>104</v>
      </c>
      <c r="C48" t="s">
        <v>105</v>
      </c>
      <c r="D48" t="s">
        <v>10</v>
      </c>
      <c r="E48">
        <v>1</v>
      </c>
      <c r="F48" t="s">
        <v>11</v>
      </c>
      <c r="G48" t="s">
        <v>12</v>
      </c>
      <c r="H48">
        <v>4.8</v>
      </c>
      <c r="I48">
        <v>14</v>
      </c>
      <c r="K48" t="str">
        <f>IF(J48="","",IF(COUNTIF($C48:C261,J48)=1,J48,""))</f>
        <v/>
      </c>
    </row>
    <row r="49" spans="1:11" x14ac:dyDescent="0.25">
      <c r="A49">
        <v>47</v>
      </c>
      <c r="B49" t="s">
        <v>106</v>
      </c>
      <c r="C49" t="s">
        <v>107</v>
      </c>
      <c r="D49" t="s">
        <v>10</v>
      </c>
      <c r="E49">
        <v>2</v>
      </c>
      <c r="F49" t="s">
        <v>11</v>
      </c>
      <c r="G49" t="s">
        <v>12</v>
      </c>
      <c r="H49">
        <v>4.3</v>
      </c>
      <c r="I49">
        <v>6</v>
      </c>
      <c r="K49" t="str">
        <f>IF(J49="","",IF(COUNTIF($C49:C262,J49)=1,J49,""))</f>
        <v/>
      </c>
    </row>
    <row r="50" spans="1:11" x14ac:dyDescent="0.25">
      <c r="A50">
        <v>48</v>
      </c>
      <c r="B50" t="s">
        <v>108</v>
      </c>
      <c r="C50" t="s">
        <v>109</v>
      </c>
      <c r="D50" t="s">
        <v>15</v>
      </c>
      <c r="E50">
        <v>1</v>
      </c>
      <c r="F50" t="s">
        <v>11</v>
      </c>
      <c r="G50" t="s">
        <v>12</v>
      </c>
      <c r="H50">
        <v>4.4000000000000004</v>
      </c>
      <c r="I50">
        <v>140</v>
      </c>
      <c r="K50" t="str">
        <f>IF(J50="","",IF(COUNTIF($C50:C263,J50)=1,J50,""))</f>
        <v/>
      </c>
    </row>
    <row r="51" spans="1:11" x14ac:dyDescent="0.25">
      <c r="A51">
        <v>49</v>
      </c>
      <c r="B51" t="s">
        <v>110</v>
      </c>
      <c r="C51" t="s">
        <v>111</v>
      </c>
      <c r="D51" t="s">
        <v>10</v>
      </c>
      <c r="E51">
        <v>1</v>
      </c>
      <c r="F51" t="s">
        <v>11</v>
      </c>
      <c r="G51" t="s">
        <v>12</v>
      </c>
      <c r="H51">
        <v>4.4000000000000004</v>
      </c>
      <c r="I51">
        <v>39</v>
      </c>
      <c r="K51" t="str">
        <f>IF(J51="","",IF(COUNTIF($C51:C264,J51)=1,J51,""))</f>
        <v/>
      </c>
    </row>
    <row r="52" spans="1:11" x14ac:dyDescent="0.25">
      <c r="A52">
        <v>50</v>
      </c>
      <c r="B52" t="s">
        <v>112</v>
      </c>
      <c r="C52" t="s">
        <v>113</v>
      </c>
      <c r="D52" t="s">
        <v>10</v>
      </c>
      <c r="E52">
        <v>1</v>
      </c>
      <c r="F52" t="s">
        <v>11</v>
      </c>
      <c r="G52" t="s">
        <v>12</v>
      </c>
      <c r="H52">
        <v>4.9000000000000004</v>
      </c>
      <c r="I52">
        <v>10</v>
      </c>
      <c r="K52" t="str">
        <f>IF(J52="","",IF(COUNTIF($C52:C265,J52)=1,J52,""))</f>
        <v/>
      </c>
    </row>
    <row r="53" spans="1:11" x14ac:dyDescent="0.25">
      <c r="A53">
        <v>51</v>
      </c>
      <c r="B53" t="s">
        <v>114</v>
      </c>
      <c r="C53" t="s">
        <v>115</v>
      </c>
      <c r="D53" t="s">
        <v>10</v>
      </c>
      <c r="E53">
        <v>1</v>
      </c>
      <c r="F53" t="s">
        <v>11</v>
      </c>
      <c r="G53" t="s">
        <v>12</v>
      </c>
      <c r="H53">
        <v>4.5</v>
      </c>
      <c r="I53">
        <v>118</v>
      </c>
      <c r="K53" t="str">
        <f>IF(J53="","",IF(COUNTIF($C53:C266,J53)=1,J53,""))</f>
        <v/>
      </c>
    </row>
    <row r="54" spans="1:11" hidden="1" x14ac:dyDescent="0.25">
      <c r="A54">
        <v>52</v>
      </c>
      <c r="B54" t="s">
        <v>116</v>
      </c>
      <c r="C54" t="s">
        <v>117</v>
      </c>
      <c r="D54" t="s">
        <v>10</v>
      </c>
      <c r="E54">
        <v>1</v>
      </c>
      <c r="F54" t="s">
        <v>11</v>
      </c>
      <c r="G54" t="s">
        <v>12</v>
      </c>
      <c r="H54">
        <v>4.5</v>
      </c>
      <c r="I54">
        <v>144</v>
      </c>
      <c r="K54" t="str">
        <f>IF(J54="","",IF(COUNTIF($C54:C267,J54)=1,J54,""))</f>
        <v/>
      </c>
    </row>
    <row r="55" spans="1:11" x14ac:dyDescent="0.25">
      <c r="A55">
        <v>53</v>
      </c>
      <c r="B55" t="s">
        <v>118</v>
      </c>
      <c r="C55" t="s">
        <v>119</v>
      </c>
      <c r="D55" t="s">
        <v>15</v>
      </c>
      <c r="E55">
        <v>2</v>
      </c>
      <c r="F55" t="s">
        <v>11</v>
      </c>
      <c r="G55" t="s">
        <v>12</v>
      </c>
      <c r="H55">
        <v>4.7</v>
      </c>
      <c r="I55">
        <v>6</v>
      </c>
      <c r="K55" t="str">
        <f>IF(J55="","",IF(COUNTIF($C55:C268,J55)=1,J55,""))</f>
        <v/>
      </c>
    </row>
    <row r="56" spans="1:11" x14ac:dyDescent="0.25">
      <c r="A56">
        <v>54</v>
      </c>
      <c r="B56" t="s">
        <v>120</v>
      </c>
      <c r="C56" t="s">
        <v>121</v>
      </c>
      <c r="D56" t="s">
        <v>10</v>
      </c>
      <c r="E56">
        <v>3</v>
      </c>
      <c r="F56" t="s">
        <v>11</v>
      </c>
      <c r="G56" t="s">
        <v>12</v>
      </c>
      <c r="H56">
        <v>5</v>
      </c>
      <c r="I56">
        <v>1</v>
      </c>
      <c r="K56" t="str">
        <f>IF(J56="","",IF(COUNTIF($C56:C269,J56)=1,J56,""))</f>
        <v/>
      </c>
    </row>
    <row r="57" spans="1:11" x14ac:dyDescent="0.25">
      <c r="A57">
        <v>55</v>
      </c>
      <c r="B57" t="s">
        <v>122</v>
      </c>
      <c r="C57" t="s">
        <v>123</v>
      </c>
      <c r="D57" t="s">
        <v>10</v>
      </c>
      <c r="E57">
        <v>1</v>
      </c>
      <c r="F57" t="s">
        <v>11</v>
      </c>
      <c r="G57" t="s">
        <v>12</v>
      </c>
      <c r="H57">
        <v>4.5999999999999996</v>
      </c>
      <c r="I57">
        <v>125</v>
      </c>
      <c r="K57" t="str">
        <f>IF(J57="","",IF(COUNTIF($C57:C270,J57)=1,J57,""))</f>
        <v/>
      </c>
    </row>
    <row r="58" spans="1:11" x14ac:dyDescent="0.25">
      <c r="A58">
        <v>56</v>
      </c>
      <c r="B58" t="s">
        <v>124</v>
      </c>
      <c r="C58" t="s">
        <v>125</v>
      </c>
      <c r="D58" t="s">
        <v>15</v>
      </c>
      <c r="E58">
        <v>1</v>
      </c>
      <c r="F58" t="s">
        <v>11</v>
      </c>
      <c r="G58" t="s">
        <v>12</v>
      </c>
      <c r="H58">
        <v>4.4000000000000004</v>
      </c>
      <c r="I58">
        <v>24</v>
      </c>
      <c r="K58" t="str">
        <f>IF(J58="","",IF(COUNTIF($C58:C271,J58)=1,J58,""))</f>
        <v/>
      </c>
    </row>
    <row r="59" spans="1:11" x14ac:dyDescent="0.25">
      <c r="A59">
        <v>57</v>
      </c>
      <c r="B59" t="s">
        <v>126</v>
      </c>
      <c r="C59" t="s">
        <v>127</v>
      </c>
      <c r="D59" t="s">
        <v>10</v>
      </c>
      <c r="E59">
        <v>1</v>
      </c>
      <c r="F59" t="s">
        <v>11</v>
      </c>
      <c r="G59" t="s">
        <v>12</v>
      </c>
      <c r="H59">
        <v>4.5999999999999996</v>
      </c>
      <c r="I59">
        <v>247</v>
      </c>
      <c r="K59" t="str">
        <f>IF(J59="","",IF(COUNTIF($C59:C272,J59)=1,J59,""))</f>
        <v/>
      </c>
    </row>
    <row r="60" spans="1:11" x14ac:dyDescent="0.25">
      <c r="A60">
        <v>58</v>
      </c>
      <c r="B60" t="s">
        <v>128</v>
      </c>
      <c r="C60" t="s">
        <v>129</v>
      </c>
      <c r="D60" t="s">
        <v>10</v>
      </c>
      <c r="E60">
        <v>1</v>
      </c>
      <c r="F60" t="s">
        <v>11</v>
      </c>
      <c r="G60" t="s">
        <v>12</v>
      </c>
      <c r="H60">
        <v>4.5999999999999996</v>
      </c>
      <c r="I60">
        <v>414</v>
      </c>
      <c r="K60" t="str">
        <f>IF(J60="","",IF(COUNTIF($C60:C273,J60)=1,J60,""))</f>
        <v/>
      </c>
    </row>
    <row r="61" spans="1:11" x14ac:dyDescent="0.25">
      <c r="A61">
        <v>59</v>
      </c>
      <c r="B61" t="s">
        <v>130</v>
      </c>
      <c r="C61" t="s">
        <v>131</v>
      </c>
      <c r="D61" t="s">
        <v>132</v>
      </c>
      <c r="E61">
        <v>1</v>
      </c>
      <c r="F61" t="s">
        <v>11</v>
      </c>
      <c r="G61" t="s">
        <v>12</v>
      </c>
      <c r="H61">
        <v>4.5</v>
      </c>
      <c r="I61">
        <v>63</v>
      </c>
      <c r="K61" t="str">
        <f>IF(J61="","",IF(COUNTIF($C61:C274,J61)=1,J61,""))</f>
        <v/>
      </c>
    </row>
    <row r="62" spans="1:11" x14ac:dyDescent="0.25">
      <c r="A62">
        <v>60</v>
      </c>
      <c r="B62" t="s">
        <v>133</v>
      </c>
      <c r="C62" t="s">
        <v>134</v>
      </c>
      <c r="D62" t="s">
        <v>15</v>
      </c>
      <c r="E62">
        <v>1</v>
      </c>
      <c r="F62" t="s">
        <v>11</v>
      </c>
      <c r="G62" t="s">
        <v>12</v>
      </c>
      <c r="H62">
        <v>4.5</v>
      </c>
      <c r="I62">
        <v>159</v>
      </c>
      <c r="K62" t="str">
        <f>IF(J62="","",IF(COUNTIF($C62:C275,J62)=1,J62,""))</f>
        <v/>
      </c>
    </row>
    <row r="63" spans="1:11" x14ac:dyDescent="0.25">
      <c r="A63">
        <v>61</v>
      </c>
      <c r="B63" t="s">
        <v>135</v>
      </c>
      <c r="C63" t="s">
        <v>136</v>
      </c>
      <c r="D63" t="s">
        <v>10</v>
      </c>
      <c r="E63">
        <v>1</v>
      </c>
      <c r="F63" t="s">
        <v>11</v>
      </c>
      <c r="G63" t="s">
        <v>12</v>
      </c>
      <c r="H63">
        <v>4.5999999999999996</v>
      </c>
      <c r="I63">
        <v>155</v>
      </c>
      <c r="K63" t="str">
        <f>IF(J63="","",IF(COUNTIF($C63:C276,J63)=1,J63,""))</f>
        <v/>
      </c>
    </row>
    <row r="64" spans="1:11" hidden="1" x14ac:dyDescent="0.25">
      <c r="A64">
        <v>62</v>
      </c>
      <c r="B64" t="s">
        <v>137</v>
      </c>
      <c r="C64" t="s">
        <v>138</v>
      </c>
      <c r="D64" t="s">
        <v>10</v>
      </c>
      <c r="E64">
        <v>1</v>
      </c>
      <c r="F64" t="s">
        <v>11</v>
      </c>
      <c r="G64" t="s">
        <v>12</v>
      </c>
      <c r="H64">
        <v>4.4000000000000004</v>
      </c>
      <c r="I64">
        <v>67</v>
      </c>
      <c r="K64" t="str">
        <f>IF(J64="","",IF(COUNTIF($C64:C277,J64)=1,J64,""))</f>
        <v/>
      </c>
    </row>
    <row r="65" spans="1:11" x14ac:dyDescent="0.25">
      <c r="A65">
        <v>63</v>
      </c>
      <c r="B65" t="s">
        <v>139</v>
      </c>
      <c r="C65" t="s">
        <v>140</v>
      </c>
      <c r="D65" t="s">
        <v>15</v>
      </c>
      <c r="E65">
        <v>1</v>
      </c>
      <c r="F65" t="s">
        <v>11</v>
      </c>
      <c r="G65" t="s">
        <v>12</v>
      </c>
      <c r="H65">
        <v>4.9000000000000004</v>
      </c>
      <c r="I65">
        <v>20</v>
      </c>
      <c r="K65" t="str">
        <f>IF(J65="","",IF(COUNTIF($C65:C278,J65)=1,J65,""))</f>
        <v/>
      </c>
    </row>
    <row r="66" spans="1:11" x14ac:dyDescent="0.25">
      <c r="A66">
        <v>64</v>
      </c>
      <c r="B66" t="s">
        <v>141</v>
      </c>
      <c r="C66" t="s">
        <v>142</v>
      </c>
      <c r="D66" t="s">
        <v>15</v>
      </c>
      <c r="E66">
        <v>1</v>
      </c>
      <c r="F66" t="s">
        <v>11</v>
      </c>
      <c r="G66" t="s">
        <v>12</v>
      </c>
      <c r="H66">
        <v>4.0999999999999996</v>
      </c>
      <c r="I66">
        <v>167</v>
      </c>
      <c r="K66" t="str">
        <f>IF(J66="","",IF(COUNTIF($C66:C279,J66)=1,J66,""))</f>
        <v/>
      </c>
    </row>
    <row r="67" spans="1:11" x14ac:dyDescent="0.25">
      <c r="A67">
        <v>65</v>
      </c>
      <c r="B67" t="s">
        <v>143</v>
      </c>
      <c r="C67" t="s">
        <v>144</v>
      </c>
      <c r="D67" t="s">
        <v>15</v>
      </c>
      <c r="E67">
        <v>1</v>
      </c>
      <c r="F67" t="s">
        <v>11</v>
      </c>
      <c r="G67" t="s">
        <v>12</v>
      </c>
      <c r="H67">
        <v>4.3</v>
      </c>
      <c r="I67">
        <v>58</v>
      </c>
      <c r="K67" t="str">
        <f>IF(J67="","",IF(COUNTIF($C67:C280,J67)=1,J67,""))</f>
        <v/>
      </c>
    </row>
    <row r="68" spans="1:11" x14ac:dyDescent="0.25">
      <c r="A68">
        <v>66</v>
      </c>
      <c r="B68" t="s">
        <v>145</v>
      </c>
      <c r="C68" t="s">
        <v>146</v>
      </c>
      <c r="D68" t="s">
        <v>10</v>
      </c>
      <c r="E68">
        <v>1</v>
      </c>
      <c r="F68" t="s">
        <v>11</v>
      </c>
      <c r="G68" t="s">
        <v>12</v>
      </c>
      <c r="H68">
        <v>4.8</v>
      </c>
      <c r="I68">
        <v>18</v>
      </c>
      <c r="K68" t="str">
        <f>IF(J68="","",IF(COUNTIF($C68:C281,J68)=1,J68,""))</f>
        <v/>
      </c>
    </row>
    <row r="69" spans="1:11" x14ac:dyDescent="0.25">
      <c r="A69">
        <v>67</v>
      </c>
      <c r="B69" t="s">
        <v>147</v>
      </c>
      <c r="C69" t="s">
        <v>148</v>
      </c>
      <c r="D69" t="s">
        <v>10</v>
      </c>
      <c r="E69">
        <v>1</v>
      </c>
      <c r="F69" t="s">
        <v>11</v>
      </c>
      <c r="G69" t="s">
        <v>12</v>
      </c>
      <c r="H69">
        <v>4.7</v>
      </c>
      <c r="I69">
        <v>80</v>
      </c>
      <c r="K69" t="str">
        <f>IF(J69="","",IF(COUNTIF($C69:C282,J69)=1,J69,""))</f>
        <v/>
      </c>
    </row>
    <row r="70" spans="1:11" x14ac:dyDescent="0.25">
      <c r="A70">
        <v>68</v>
      </c>
      <c r="B70" t="s">
        <v>149</v>
      </c>
      <c r="C70" t="s">
        <v>150</v>
      </c>
      <c r="D70" t="s">
        <v>10</v>
      </c>
      <c r="E70">
        <v>1</v>
      </c>
      <c r="F70" t="s">
        <v>11</v>
      </c>
      <c r="G70" t="s">
        <v>12</v>
      </c>
      <c r="H70">
        <v>4.5999999999999996</v>
      </c>
      <c r="I70">
        <v>399</v>
      </c>
      <c r="K70" t="str">
        <f>IF(J70="","",IF(COUNTIF($C70:C283,J70)=1,J70,""))</f>
        <v/>
      </c>
    </row>
    <row r="71" spans="1:11" x14ac:dyDescent="0.25">
      <c r="A71">
        <v>69</v>
      </c>
      <c r="B71" t="s">
        <v>151</v>
      </c>
      <c r="C71" t="s">
        <v>152</v>
      </c>
      <c r="D71" t="s">
        <v>132</v>
      </c>
      <c r="E71">
        <v>2</v>
      </c>
      <c r="F71" t="s">
        <v>11</v>
      </c>
      <c r="G71" t="s">
        <v>12</v>
      </c>
      <c r="H71">
        <v>3</v>
      </c>
      <c r="I71">
        <v>3</v>
      </c>
      <c r="K71" t="str">
        <f>IF(J71="","",IF(COUNTIF($C71:C284,J71)=1,J71,""))</f>
        <v/>
      </c>
    </row>
    <row r="72" spans="1:11" x14ac:dyDescent="0.25">
      <c r="A72">
        <v>70</v>
      </c>
      <c r="B72" t="s">
        <v>153</v>
      </c>
      <c r="C72" t="s">
        <v>154</v>
      </c>
      <c r="D72" t="s">
        <v>10</v>
      </c>
      <c r="E72">
        <v>1</v>
      </c>
      <c r="F72" t="s">
        <v>11</v>
      </c>
      <c r="G72" t="s">
        <v>12</v>
      </c>
      <c r="H72">
        <v>4.5999999999999996</v>
      </c>
      <c r="I72">
        <v>8</v>
      </c>
      <c r="K72" t="str">
        <f>IF(J72="","",IF(COUNTIF($C72:C285,J72)=1,J72,""))</f>
        <v/>
      </c>
    </row>
    <row r="73" spans="1:11" x14ac:dyDescent="0.25">
      <c r="A73">
        <v>71</v>
      </c>
      <c r="B73" t="s">
        <v>155</v>
      </c>
      <c r="C73" t="s">
        <v>156</v>
      </c>
      <c r="D73" t="s">
        <v>15</v>
      </c>
      <c r="E73">
        <v>2</v>
      </c>
      <c r="F73" t="s">
        <v>11</v>
      </c>
      <c r="G73" t="s">
        <v>12</v>
      </c>
      <c r="H73">
        <v>4.4000000000000004</v>
      </c>
      <c r="I73">
        <v>7</v>
      </c>
      <c r="K73" t="str">
        <f>IF(J73="","",IF(COUNTIF($C73:C286,J73)=1,J73,""))</f>
        <v/>
      </c>
    </row>
    <row r="74" spans="1:11" x14ac:dyDescent="0.25">
      <c r="A74">
        <v>72</v>
      </c>
      <c r="B74" t="s">
        <v>157</v>
      </c>
      <c r="C74" t="s">
        <v>158</v>
      </c>
      <c r="D74" t="s">
        <v>15</v>
      </c>
      <c r="E74">
        <v>2</v>
      </c>
      <c r="F74" t="s">
        <v>11</v>
      </c>
      <c r="G74" t="s">
        <v>12</v>
      </c>
      <c r="H74">
        <v>4.3</v>
      </c>
      <c r="I74">
        <v>18</v>
      </c>
      <c r="K74" t="str">
        <f>IF(J74="","",IF(COUNTIF($C74:C287,J74)=1,J74,""))</f>
        <v/>
      </c>
    </row>
    <row r="75" spans="1:11" hidden="1" x14ac:dyDescent="0.25">
      <c r="A75">
        <v>73</v>
      </c>
      <c r="B75" t="s">
        <v>159</v>
      </c>
      <c r="C75" t="s">
        <v>160</v>
      </c>
      <c r="D75" t="s">
        <v>10</v>
      </c>
      <c r="E75">
        <v>1</v>
      </c>
      <c r="F75" t="s">
        <v>11</v>
      </c>
      <c r="G75" t="s">
        <v>12</v>
      </c>
      <c r="H75">
        <v>4.5999999999999996</v>
      </c>
      <c r="I75">
        <v>85</v>
      </c>
      <c r="K75" t="str">
        <f>IF(J75="","",IF(COUNTIF($C75:C288,J75)=1,J75,""))</f>
        <v/>
      </c>
    </row>
    <row r="76" spans="1:11" x14ac:dyDescent="0.25">
      <c r="A76">
        <v>74</v>
      </c>
      <c r="B76" t="s">
        <v>161</v>
      </c>
      <c r="C76" t="s">
        <v>162</v>
      </c>
      <c r="D76" t="s">
        <v>10</v>
      </c>
      <c r="E76">
        <v>2</v>
      </c>
      <c r="F76" t="s">
        <v>11</v>
      </c>
      <c r="G76" t="s">
        <v>12</v>
      </c>
      <c r="H76">
        <v>5</v>
      </c>
      <c r="I76">
        <v>1</v>
      </c>
      <c r="K76" t="str">
        <f>IF(J76="","",IF(COUNTIF($C76:C289,J76)=1,J76,""))</f>
        <v/>
      </c>
    </row>
    <row r="77" spans="1:11" x14ac:dyDescent="0.25">
      <c r="A77">
        <v>75</v>
      </c>
      <c r="B77" t="s">
        <v>163</v>
      </c>
      <c r="C77" t="s">
        <v>164</v>
      </c>
      <c r="D77" t="s">
        <v>15</v>
      </c>
      <c r="E77">
        <v>1</v>
      </c>
      <c r="F77" t="s">
        <v>11</v>
      </c>
      <c r="G77" t="s">
        <v>12</v>
      </c>
      <c r="H77">
        <v>4.7</v>
      </c>
      <c r="I77">
        <v>100</v>
      </c>
      <c r="K77" t="str">
        <f>IF(J77="","",IF(COUNTIF($C77:C290,J77)=1,J77,""))</f>
        <v/>
      </c>
    </row>
    <row r="78" spans="1:11" hidden="1" x14ac:dyDescent="0.25">
      <c r="A78">
        <v>76</v>
      </c>
      <c r="B78" t="s">
        <v>165</v>
      </c>
      <c r="C78" t="s">
        <v>166</v>
      </c>
      <c r="D78" t="s">
        <v>10</v>
      </c>
      <c r="E78">
        <v>1</v>
      </c>
      <c r="F78" t="s">
        <v>11</v>
      </c>
      <c r="G78" t="s">
        <v>12</v>
      </c>
      <c r="H78">
        <v>4.5999999999999996</v>
      </c>
      <c r="I78">
        <v>96</v>
      </c>
      <c r="K78" t="str">
        <f>IF(J78="","",IF(COUNTIF($C78:C291,J78)=1,J78,""))</f>
        <v/>
      </c>
    </row>
    <row r="79" spans="1:11" hidden="1" x14ac:dyDescent="0.25">
      <c r="A79">
        <v>77</v>
      </c>
      <c r="B79" t="s">
        <v>167</v>
      </c>
      <c r="C79" t="s">
        <v>168</v>
      </c>
      <c r="D79" t="s">
        <v>10</v>
      </c>
      <c r="E79">
        <v>1</v>
      </c>
      <c r="F79" t="s">
        <v>11</v>
      </c>
      <c r="G79" t="s">
        <v>12</v>
      </c>
      <c r="H79">
        <v>4.8</v>
      </c>
      <c r="I79">
        <v>44</v>
      </c>
      <c r="K79" t="str">
        <f>IF(J79="","",IF(COUNTIF($C79:C292,J79)=1,J79,""))</f>
        <v/>
      </c>
    </row>
    <row r="80" spans="1:11" x14ac:dyDescent="0.25">
      <c r="A80">
        <v>78</v>
      </c>
      <c r="B80" t="s">
        <v>169</v>
      </c>
      <c r="C80" t="s">
        <v>170</v>
      </c>
      <c r="D80" t="s">
        <v>15</v>
      </c>
      <c r="E80">
        <v>1</v>
      </c>
      <c r="F80" t="s">
        <v>11</v>
      </c>
      <c r="G80" t="s">
        <v>12</v>
      </c>
      <c r="H80">
        <v>4.0999999999999996</v>
      </c>
      <c r="I80">
        <v>53</v>
      </c>
      <c r="K80" t="str">
        <f>IF(J80="","",IF(COUNTIF($C80:C293,J80)=1,J80,""))</f>
        <v/>
      </c>
    </row>
    <row r="81" spans="1:11" x14ac:dyDescent="0.25">
      <c r="A81">
        <v>79</v>
      </c>
      <c r="B81" t="s">
        <v>171</v>
      </c>
      <c r="C81" t="s">
        <v>172</v>
      </c>
      <c r="D81" t="s">
        <v>15</v>
      </c>
      <c r="E81">
        <v>1</v>
      </c>
      <c r="F81" t="s">
        <v>11</v>
      </c>
      <c r="G81" t="s">
        <v>12</v>
      </c>
      <c r="H81">
        <v>4.3</v>
      </c>
      <c r="I81">
        <v>52</v>
      </c>
      <c r="K81" t="str">
        <f>IF(J81="","",IF(COUNTIF($C81:C294,J81)=1,J81,""))</f>
        <v/>
      </c>
    </row>
    <row r="82" spans="1:11" x14ac:dyDescent="0.25">
      <c r="A82">
        <v>80</v>
      </c>
      <c r="B82" t="s">
        <v>173</v>
      </c>
      <c r="C82" t="s">
        <v>174</v>
      </c>
      <c r="D82" t="s">
        <v>10</v>
      </c>
      <c r="E82">
        <v>1</v>
      </c>
      <c r="F82" t="s">
        <v>11</v>
      </c>
      <c r="G82" t="s">
        <v>12</v>
      </c>
      <c r="H82">
        <v>4.7</v>
      </c>
      <c r="I82">
        <v>7</v>
      </c>
      <c r="K82" t="str">
        <f>IF(J82="","",IF(COUNTIF($C82:C295,J82)=1,J82,""))</f>
        <v/>
      </c>
    </row>
    <row r="83" spans="1:11" x14ac:dyDescent="0.25">
      <c r="A83">
        <v>81</v>
      </c>
      <c r="B83" t="s">
        <v>175</v>
      </c>
      <c r="C83" t="s">
        <v>176</v>
      </c>
      <c r="D83" t="s">
        <v>15</v>
      </c>
      <c r="E83">
        <v>1</v>
      </c>
      <c r="F83" t="s">
        <v>11</v>
      </c>
      <c r="G83" t="s">
        <v>12</v>
      </c>
      <c r="H83">
        <v>4.2</v>
      </c>
      <c r="I83">
        <v>61</v>
      </c>
      <c r="K83" t="str">
        <f>IF(J83="","",IF(COUNTIF($C83:C296,J83)=1,J83,""))</f>
        <v/>
      </c>
    </row>
    <row r="84" spans="1:11" x14ac:dyDescent="0.25">
      <c r="A84">
        <v>82</v>
      </c>
      <c r="B84" t="s">
        <v>177</v>
      </c>
      <c r="C84" t="s">
        <v>178</v>
      </c>
      <c r="D84" t="s">
        <v>15</v>
      </c>
      <c r="E84">
        <v>2</v>
      </c>
      <c r="F84" t="s">
        <v>11</v>
      </c>
      <c r="G84" t="s">
        <v>12</v>
      </c>
      <c r="H84">
        <v>4</v>
      </c>
      <c r="I84">
        <v>2</v>
      </c>
      <c r="K84" t="str">
        <f>IF(J84="","",IF(COUNTIF($C84:C297,J84)=1,J84,""))</f>
        <v/>
      </c>
    </row>
    <row r="85" spans="1:11" x14ac:dyDescent="0.25">
      <c r="A85">
        <v>83</v>
      </c>
      <c r="B85" t="s">
        <v>179</v>
      </c>
      <c r="C85" t="s">
        <v>180</v>
      </c>
      <c r="D85" t="s">
        <v>15</v>
      </c>
      <c r="E85">
        <v>1</v>
      </c>
      <c r="F85" t="s">
        <v>11</v>
      </c>
      <c r="G85" t="s">
        <v>12</v>
      </c>
      <c r="H85">
        <v>4.8</v>
      </c>
      <c r="I85">
        <v>39</v>
      </c>
      <c r="K85" t="str">
        <f>IF(J85="","",IF(COUNTIF($C85:C298,J85)=1,J85,""))</f>
        <v/>
      </c>
    </row>
    <row r="86" spans="1:11" x14ac:dyDescent="0.25">
      <c r="A86">
        <v>84</v>
      </c>
      <c r="B86" t="s">
        <v>181</v>
      </c>
      <c r="C86" t="s">
        <v>182</v>
      </c>
      <c r="D86" t="s">
        <v>15</v>
      </c>
      <c r="E86">
        <v>1</v>
      </c>
      <c r="F86" t="s">
        <v>11</v>
      </c>
      <c r="G86" t="s">
        <v>12</v>
      </c>
      <c r="H86">
        <v>4.5999999999999996</v>
      </c>
      <c r="I86">
        <v>191</v>
      </c>
      <c r="K86" t="str">
        <f>IF(J86="","",IF(COUNTIF($C86:C299,J86)=1,J86,""))</f>
        <v/>
      </c>
    </row>
    <row r="87" spans="1:11" x14ac:dyDescent="0.25">
      <c r="A87">
        <v>85</v>
      </c>
      <c r="B87" t="s">
        <v>183</v>
      </c>
      <c r="C87" t="s">
        <v>184</v>
      </c>
      <c r="D87" t="s">
        <v>10</v>
      </c>
      <c r="E87">
        <v>1</v>
      </c>
      <c r="F87" t="s">
        <v>11</v>
      </c>
      <c r="G87" t="s">
        <v>12</v>
      </c>
      <c r="H87">
        <v>4.4000000000000004</v>
      </c>
      <c r="I87">
        <v>120</v>
      </c>
      <c r="K87" t="str">
        <f>IF(J87="","",IF(COUNTIF($C87:C300,J87)=1,J87,""))</f>
        <v/>
      </c>
    </row>
    <row r="88" spans="1:11" x14ac:dyDescent="0.25">
      <c r="A88">
        <v>86</v>
      </c>
      <c r="B88" t="s">
        <v>185</v>
      </c>
      <c r="C88" t="s">
        <v>186</v>
      </c>
      <c r="D88" t="s">
        <v>10</v>
      </c>
      <c r="E88">
        <v>1</v>
      </c>
      <c r="F88" t="s">
        <v>11</v>
      </c>
      <c r="G88" t="s">
        <v>12</v>
      </c>
      <c r="H88">
        <v>4.5999999999999996</v>
      </c>
      <c r="I88">
        <v>80</v>
      </c>
      <c r="K88" t="str">
        <f>IF(J88="","",IF(COUNTIF($C88:C301,J88)=1,J88,""))</f>
        <v/>
      </c>
    </row>
    <row r="89" spans="1:11" x14ac:dyDescent="0.25">
      <c r="A89">
        <v>87</v>
      </c>
      <c r="B89" t="s">
        <v>187</v>
      </c>
      <c r="C89" t="s">
        <v>188</v>
      </c>
      <c r="D89" t="s">
        <v>15</v>
      </c>
      <c r="E89">
        <v>1</v>
      </c>
      <c r="F89" t="s">
        <v>11</v>
      </c>
      <c r="G89" t="s">
        <v>12</v>
      </c>
      <c r="H89">
        <v>4.5999999999999996</v>
      </c>
      <c r="I89">
        <v>33</v>
      </c>
      <c r="K89" t="str">
        <f>IF(J89="","",IF(COUNTIF($C89:C302,J89)=1,J89,""))</f>
        <v/>
      </c>
    </row>
    <row r="90" spans="1:11" x14ac:dyDescent="0.25">
      <c r="A90">
        <v>88</v>
      </c>
      <c r="B90" t="s">
        <v>189</v>
      </c>
      <c r="C90" t="s">
        <v>190</v>
      </c>
      <c r="D90" t="s">
        <v>15</v>
      </c>
      <c r="E90">
        <v>1</v>
      </c>
      <c r="F90" t="s">
        <v>11</v>
      </c>
      <c r="G90" t="s">
        <v>12</v>
      </c>
      <c r="H90">
        <v>4.3</v>
      </c>
      <c r="I90">
        <v>179</v>
      </c>
      <c r="K90" t="str">
        <f>IF(J90="","",IF(COUNTIF($C90:C303,J90)=1,J90,""))</f>
        <v/>
      </c>
    </row>
    <row r="91" spans="1:11" x14ac:dyDescent="0.25">
      <c r="A91">
        <v>89</v>
      </c>
      <c r="B91" t="s">
        <v>191</v>
      </c>
      <c r="C91" t="s">
        <v>192</v>
      </c>
      <c r="D91" t="s">
        <v>10</v>
      </c>
      <c r="E91">
        <v>1</v>
      </c>
      <c r="F91" t="s">
        <v>11</v>
      </c>
      <c r="G91" t="s">
        <v>12</v>
      </c>
      <c r="H91">
        <v>4.3</v>
      </c>
      <c r="I91">
        <v>47</v>
      </c>
      <c r="K91" t="str">
        <f>IF(J91="","",IF(COUNTIF($C91:C304,J91)=1,J91,""))</f>
        <v/>
      </c>
    </row>
    <row r="92" spans="1:11" x14ac:dyDescent="0.25">
      <c r="A92">
        <v>90</v>
      </c>
      <c r="B92" t="s">
        <v>193</v>
      </c>
      <c r="C92" t="s">
        <v>194</v>
      </c>
      <c r="D92" t="s">
        <v>10</v>
      </c>
      <c r="E92">
        <v>1</v>
      </c>
      <c r="F92" t="s">
        <v>11</v>
      </c>
      <c r="G92" t="s">
        <v>12</v>
      </c>
      <c r="H92">
        <v>4.3</v>
      </c>
      <c r="I92">
        <v>82</v>
      </c>
      <c r="K92" t="str">
        <f>IF(J92="","",IF(COUNTIF($C92:C305,J92)=1,J92,""))</f>
        <v/>
      </c>
    </row>
    <row r="93" spans="1:11" hidden="1" x14ac:dyDescent="0.25">
      <c r="A93">
        <v>91</v>
      </c>
      <c r="B93" t="s">
        <v>195</v>
      </c>
      <c r="C93" t="s">
        <v>196</v>
      </c>
      <c r="D93" t="s">
        <v>15</v>
      </c>
      <c r="E93">
        <v>1</v>
      </c>
      <c r="F93" t="s">
        <v>11</v>
      </c>
      <c r="G93" t="s">
        <v>12</v>
      </c>
      <c r="H93">
        <v>4.7</v>
      </c>
      <c r="I93">
        <v>51</v>
      </c>
      <c r="K93" t="str">
        <f>IF(J93="","",IF(COUNTIF($C93:C306,J93)=1,J93,""))</f>
        <v/>
      </c>
    </row>
    <row r="94" spans="1:11" x14ac:dyDescent="0.25">
      <c r="A94">
        <v>92</v>
      </c>
      <c r="B94" t="s">
        <v>197</v>
      </c>
      <c r="C94" t="s">
        <v>198</v>
      </c>
      <c r="D94" t="s">
        <v>15</v>
      </c>
      <c r="E94">
        <v>1</v>
      </c>
      <c r="F94" t="s">
        <v>11</v>
      </c>
      <c r="G94" t="s">
        <v>12</v>
      </c>
      <c r="H94">
        <v>4.5999999999999996</v>
      </c>
      <c r="I94">
        <v>172</v>
      </c>
      <c r="K94" t="str">
        <f>IF(J94="","",IF(COUNTIF($C94:C307,J94)=1,J94,""))</f>
        <v/>
      </c>
    </row>
    <row r="95" spans="1:11" x14ac:dyDescent="0.25">
      <c r="A95">
        <v>93</v>
      </c>
      <c r="B95" t="s">
        <v>199</v>
      </c>
      <c r="C95" t="s">
        <v>200</v>
      </c>
      <c r="D95" t="s">
        <v>132</v>
      </c>
      <c r="E95">
        <v>1</v>
      </c>
      <c r="F95" t="s">
        <v>11</v>
      </c>
      <c r="G95" t="s">
        <v>12</v>
      </c>
      <c r="H95">
        <v>4.7</v>
      </c>
      <c r="I95">
        <v>62</v>
      </c>
      <c r="K95" t="str">
        <f>IF(J95="","",IF(COUNTIF($C95:C308,J95)=1,J95,""))</f>
        <v/>
      </c>
    </row>
    <row r="96" spans="1:11" x14ac:dyDescent="0.25">
      <c r="A96">
        <v>94</v>
      </c>
      <c r="B96" t="s">
        <v>201</v>
      </c>
      <c r="C96" t="s">
        <v>202</v>
      </c>
      <c r="D96" t="s">
        <v>10</v>
      </c>
      <c r="E96">
        <v>1</v>
      </c>
      <c r="F96" t="s">
        <v>11</v>
      </c>
      <c r="G96" t="s">
        <v>12</v>
      </c>
      <c r="H96">
        <v>4.2</v>
      </c>
      <c r="I96">
        <v>9</v>
      </c>
      <c r="K96" t="str">
        <f>IF(J96="","",IF(COUNTIF($C96:C309,J96)=1,J96,""))</f>
        <v/>
      </c>
    </row>
    <row r="97" spans="1:11" x14ac:dyDescent="0.25">
      <c r="A97">
        <v>95</v>
      </c>
      <c r="B97" t="s">
        <v>203</v>
      </c>
      <c r="C97" t="s">
        <v>204</v>
      </c>
      <c r="D97" t="s">
        <v>10</v>
      </c>
      <c r="E97">
        <v>1</v>
      </c>
      <c r="F97" t="s">
        <v>11</v>
      </c>
      <c r="G97" t="s">
        <v>12</v>
      </c>
      <c r="H97">
        <v>4.4000000000000004</v>
      </c>
      <c r="I97">
        <v>5</v>
      </c>
      <c r="K97" t="str">
        <f>IF(J97="","",IF(COUNTIF($C97:C310,J97)=1,J97,""))</f>
        <v/>
      </c>
    </row>
    <row r="98" spans="1:11" x14ac:dyDescent="0.25">
      <c r="A98">
        <v>96</v>
      </c>
      <c r="B98" t="s">
        <v>205</v>
      </c>
      <c r="C98" t="s">
        <v>206</v>
      </c>
      <c r="D98" t="s">
        <v>10</v>
      </c>
      <c r="E98">
        <v>1</v>
      </c>
      <c r="F98" t="s">
        <v>11</v>
      </c>
      <c r="G98" t="s">
        <v>12</v>
      </c>
      <c r="H98">
        <v>4.0999999999999996</v>
      </c>
      <c r="I98">
        <v>34</v>
      </c>
      <c r="K98" t="str">
        <f>IF(J98="","",IF(COUNTIF($C98:C311,J98)=1,J98,""))</f>
        <v/>
      </c>
    </row>
    <row r="99" spans="1:11" x14ac:dyDescent="0.25">
      <c r="A99">
        <v>97</v>
      </c>
      <c r="B99" t="s">
        <v>207</v>
      </c>
      <c r="C99" t="s">
        <v>208</v>
      </c>
      <c r="D99" t="s">
        <v>10</v>
      </c>
      <c r="E99">
        <v>1</v>
      </c>
      <c r="F99" t="s">
        <v>11</v>
      </c>
      <c r="G99" t="s">
        <v>12</v>
      </c>
      <c r="H99">
        <v>4.9000000000000004</v>
      </c>
      <c r="I99">
        <v>32</v>
      </c>
      <c r="K99" t="str">
        <f>IF(J99="","",IF(COUNTIF($C99:C312,J99)=1,J99,""))</f>
        <v/>
      </c>
    </row>
    <row r="100" spans="1:11" x14ac:dyDescent="0.25">
      <c r="A100">
        <v>98</v>
      </c>
      <c r="B100" t="s">
        <v>209</v>
      </c>
      <c r="C100" t="s">
        <v>210</v>
      </c>
      <c r="D100" t="s">
        <v>10</v>
      </c>
      <c r="E100">
        <v>1</v>
      </c>
      <c r="F100" t="s">
        <v>11</v>
      </c>
      <c r="G100" t="s">
        <v>12</v>
      </c>
      <c r="H100">
        <v>4.5</v>
      </c>
      <c r="I100">
        <v>203</v>
      </c>
      <c r="K100" t="str">
        <f>IF(J100="","",IF(COUNTIF($C100:C313,J100)=1,J100,""))</f>
        <v/>
      </c>
    </row>
    <row r="101" spans="1:11" hidden="1" x14ac:dyDescent="0.25">
      <c r="A101">
        <v>99</v>
      </c>
      <c r="B101" t="s">
        <v>211</v>
      </c>
      <c r="C101" t="s">
        <v>212</v>
      </c>
      <c r="D101" t="s">
        <v>10</v>
      </c>
      <c r="E101">
        <v>1</v>
      </c>
      <c r="F101" t="s">
        <v>11</v>
      </c>
      <c r="G101" t="s">
        <v>12</v>
      </c>
      <c r="H101">
        <v>4.7</v>
      </c>
      <c r="I101">
        <v>63</v>
      </c>
      <c r="K101" t="str">
        <f>IF(J101="","",IF(COUNTIF($C101:C314,J101)=1,J101,""))</f>
        <v/>
      </c>
    </row>
    <row r="102" spans="1:11" x14ac:dyDescent="0.25">
      <c r="A102">
        <v>0</v>
      </c>
      <c r="B102" t="s">
        <v>213</v>
      </c>
      <c r="C102" t="s">
        <v>214</v>
      </c>
      <c r="D102" t="s">
        <v>15</v>
      </c>
      <c r="E102">
        <v>1</v>
      </c>
      <c r="F102" t="s">
        <v>11</v>
      </c>
      <c r="G102" t="s">
        <v>12</v>
      </c>
      <c r="H102">
        <v>4.7</v>
      </c>
      <c r="I102">
        <v>1029</v>
      </c>
      <c r="K102" t="str">
        <f>IF(J102="","",IF(COUNTIF($C102:C315,J102)=1,J102,""))</f>
        <v/>
      </c>
    </row>
    <row r="103" spans="1:11" x14ac:dyDescent="0.25">
      <c r="A103">
        <v>1</v>
      </c>
      <c r="B103" t="s">
        <v>215</v>
      </c>
      <c r="C103" t="s">
        <v>216</v>
      </c>
      <c r="D103" t="s">
        <v>10</v>
      </c>
      <c r="E103">
        <v>1</v>
      </c>
      <c r="F103" t="s">
        <v>11</v>
      </c>
      <c r="G103" t="s">
        <v>12</v>
      </c>
      <c r="H103">
        <v>4.5999999999999996</v>
      </c>
      <c r="I103">
        <v>1397</v>
      </c>
      <c r="K103" t="str">
        <f>IF(J103="","",IF(COUNTIF($C103:C316,J103)=1,J103,""))</f>
        <v/>
      </c>
    </row>
    <row r="104" spans="1:11" x14ac:dyDescent="0.25">
      <c r="A104">
        <v>2</v>
      </c>
      <c r="B104" t="s">
        <v>217</v>
      </c>
      <c r="C104" t="s">
        <v>218</v>
      </c>
      <c r="D104" t="s">
        <v>15</v>
      </c>
      <c r="E104">
        <v>1</v>
      </c>
      <c r="F104" t="s">
        <v>11</v>
      </c>
      <c r="G104" t="s">
        <v>12</v>
      </c>
      <c r="H104">
        <v>4.5</v>
      </c>
      <c r="I104">
        <v>1201</v>
      </c>
      <c r="K104" t="str">
        <f>IF(J104="","",IF(COUNTIF($C104:C317,J104)=1,J104,""))</f>
        <v/>
      </c>
    </row>
    <row r="105" spans="1:11" x14ac:dyDescent="0.25">
      <c r="A105">
        <v>3</v>
      </c>
      <c r="B105" t="s">
        <v>219</v>
      </c>
      <c r="C105" t="s">
        <v>220</v>
      </c>
      <c r="D105" t="s">
        <v>10</v>
      </c>
      <c r="E105">
        <v>1</v>
      </c>
      <c r="F105" t="s">
        <v>11</v>
      </c>
      <c r="G105" t="s">
        <v>12</v>
      </c>
      <c r="H105">
        <v>4.4000000000000004</v>
      </c>
      <c r="I105">
        <v>261</v>
      </c>
      <c r="K105" t="str">
        <f>IF(J105="","",IF(COUNTIF($C105:C318,J105)=1,J105,""))</f>
        <v/>
      </c>
    </row>
    <row r="106" spans="1:11" x14ac:dyDescent="0.25">
      <c r="A106">
        <v>4</v>
      </c>
      <c r="B106" t="s">
        <v>221</v>
      </c>
      <c r="C106" t="s">
        <v>222</v>
      </c>
      <c r="D106" t="s">
        <v>15</v>
      </c>
      <c r="E106">
        <v>1</v>
      </c>
      <c r="F106" t="s">
        <v>11</v>
      </c>
      <c r="G106" t="s">
        <v>12</v>
      </c>
      <c r="H106">
        <v>4.5</v>
      </c>
      <c r="I106">
        <v>1337</v>
      </c>
      <c r="K106" t="str">
        <f>IF(J106="","",IF(COUNTIF($C106:C319,J106)=1,J106,""))</f>
        <v/>
      </c>
    </row>
    <row r="107" spans="1:11" x14ac:dyDescent="0.25">
      <c r="A107">
        <v>5</v>
      </c>
      <c r="B107" t="s">
        <v>223</v>
      </c>
      <c r="C107" t="s">
        <v>224</v>
      </c>
      <c r="D107" t="s">
        <v>15</v>
      </c>
      <c r="E107">
        <v>1</v>
      </c>
      <c r="F107" t="s">
        <v>11</v>
      </c>
      <c r="G107" t="s">
        <v>12</v>
      </c>
      <c r="H107">
        <v>4.5</v>
      </c>
      <c r="I107">
        <v>617</v>
      </c>
      <c r="K107" t="str">
        <f>IF(J107="","",IF(COUNTIF($C107:C320,J107)=1,J107,""))</f>
        <v/>
      </c>
    </row>
    <row r="108" spans="1:11" x14ac:dyDescent="0.25">
      <c r="A108">
        <v>6</v>
      </c>
      <c r="B108" t="s">
        <v>225</v>
      </c>
      <c r="C108" t="s">
        <v>226</v>
      </c>
      <c r="D108" t="s">
        <v>10</v>
      </c>
      <c r="E108">
        <v>1</v>
      </c>
      <c r="F108" t="s">
        <v>11</v>
      </c>
      <c r="G108" t="s">
        <v>12</v>
      </c>
      <c r="H108">
        <v>4.5999999999999996</v>
      </c>
      <c r="I108">
        <v>169</v>
      </c>
      <c r="K108" t="str">
        <f>IF(J108="","",IF(COUNTIF($C108:C321,J108)=1,J108,""))</f>
        <v/>
      </c>
    </row>
    <row r="109" spans="1:11" x14ac:dyDescent="0.25">
      <c r="A109">
        <v>7</v>
      </c>
      <c r="B109" t="s">
        <v>227</v>
      </c>
      <c r="C109" t="s">
        <v>228</v>
      </c>
      <c r="D109" t="s">
        <v>10</v>
      </c>
      <c r="E109">
        <v>1</v>
      </c>
      <c r="F109" t="s">
        <v>11</v>
      </c>
      <c r="G109" t="s">
        <v>12</v>
      </c>
      <c r="H109">
        <v>4.2</v>
      </c>
      <c r="I109">
        <v>160</v>
      </c>
      <c r="K109" t="str">
        <f>IF(J109="","",IF(COUNTIF($C109:C322,J109)=1,J109,""))</f>
        <v/>
      </c>
    </row>
    <row r="110" spans="1:11" x14ac:dyDescent="0.25">
      <c r="A110">
        <v>8</v>
      </c>
      <c r="B110" t="s">
        <v>229</v>
      </c>
      <c r="C110" t="s">
        <v>230</v>
      </c>
      <c r="D110" t="s">
        <v>15</v>
      </c>
      <c r="E110">
        <v>1</v>
      </c>
      <c r="F110" t="s">
        <v>11</v>
      </c>
      <c r="G110" t="s">
        <v>12</v>
      </c>
      <c r="H110">
        <v>4.5</v>
      </c>
      <c r="I110">
        <v>156</v>
      </c>
      <c r="K110" t="str">
        <f>IF(J110="","",IF(COUNTIF($C110:C323,J110)=1,J110,""))</f>
        <v/>
      </c>
    </row>
    <row r="111" spans="1:11" hidden="1" x14ac:dyDescent="0.25">
      <c r="A111">
        <v>9</v>
      </c>
      <c r="B111" t="s">
        <v>231</v>
      </c>
      <c r="C111" t="s">
        <v>232</v>
      </c>
      <c r="D111" t="s">
        <v>10</v>
      </c>
      <c r="E111">
        <v>1</v>
      </c>
      <c r="F111" t="s">
        <v>11</v>
      </c>
      <c r="G111" t="s">
        <v>12</v>
      </c>
      <c r="H111">
        <v>4.5999999999999996</v>
      </c>
      <c r="I111">
        <v>534</v>
      </c>
      <c r="K111" t="str">
        <f>IF(J111="","",IF(COUNTIF($C111:C324,J111)=1,J111,""))</f>
        <v/>
      </c>
    </row>
    <row r="112" spans="1:11" x14ac:dyDescent="0.25">
      <c r="A112">
        <v>10</v>
      </c>
      <c r="B112" t="s">
        <v>233</v>
      </c>
      <c r="C112" t="s">
        <v>234</v>
      </c>
      <c r="D112" t="s">
        <v>10</v>
      </c>
      <c r="E112">
        <v>1</v>
      </c>
      <c r="F112" t="s">
        <v>11</v>
      </c>
      <c r="G112" t="s">
        <v>12</v>
      </c>
      <c r="H112">
        <v>4.5</v>
      </c>
      <c r="I112">
        <v>805</v>
      </c>
      <c r="K112" t="str">
        <f>IF(J112="","",IF(COUNTIF($C112:C325,J112)=1,J112,""))</f>
        <v/>
      </c>
    </row>
    <row r="113" spans="1:11" x14ac:dyDescent="0.25">
      <c r="A113">
        <v>11</v>
      </c>
      <c r="B113" t="s">
        <v>235</v>
      </c>
      <c r="C113" t="s">
        <v>236</v>
      </c>
      <c r="D113" t="s">
        <v>15</v>
      </c>
      <c r="E113">
        <v>1</v>
      </c>
      <c r="F113" t="s">
        <v>11</v>
      </c>
      <c r="G113" t="s">
        <v>12</v>
      </c>
      <c r="H113">
        <v>4.7</v>
      </c>
      <c r="I113">
        <v>76</v>
      </c>
      <c r="K113" t="str">
        <f>IF(J113="","",IF(COUNTIF($C113:C326,J113)=1,J113,""))</f>
        <v/>
      </c>
    </row>
    <row r="114" spans="1:11" x14ac:dyDescent="0.25">
      <c r="A114">
        <v>12</v>
      </c>
      <c r="B114" t="s">
        <v>237</v>
      </c>
      <c r="C114" t="s">
        <v>238</v>
      </c>
      <c r="D114" t="s">
        <v>10</v>
      </c>
      <c r="E114">
        <v>1</v>
      </c>
      <c r="F114" t="s">
        <v>11</v>
      </c>
      <c r="G114" t="s">
        <v>12</v>
      </c>
      <c r="H114">
        <v>4</v>
      </c>
      <c r="I114">
        <v>74</v>
      </c>
      <c r="K114" t="str">
        <f>IF(J114="","",IF(COUNTIF($C114:C327,J114)=1,J114,""))</f>
        <v/>
      </c>
    </row>
    <row r="115" spans="1:11" x14ac:dyDescent="0.25">
      <c r="A115">
        <v>13</v>
      </c>
      <c r="B115" t="s">
        <v>239</v>
      </c>
      <c r="C115" t="s">
        <v>240</v>
      </c>
      <c r="D115" t="s">
        <v>15</v>
      </c>
      <c r="E115">
        <v>1</v>
      </c>
      <c r="F115" t="s">
        <v>11</v>
      </c>
      <c r="G115" t="s">
        <v>12</v>
      </c>
      <c r="H115">
        <v>4.7</v>
      </c>
      <c r="I115">
        <v>143</v>
      </c>
      <c r="K115" t="str">
        <f>IF(J115="","",IF(COUNTIF($C115:C328,J115)=1,J115,""))</f>
        <v/>
      </c>
    </row>
    <row r="116" spans="1:11" x14ac:dyDescent="0.25">
      <c r="A116">
        <v>14</v>
      </c>
      <c r="B116" t="s">
        <v>241</v>
      </c>
      <c r="C116" t="s">
        <v>242</v>
      </c>
      <c r="D116" t="s">
        <v>15</v>
      </c>
      <c r="E116">
        <v>1</v>
      </c>
      <c r="F116" t="s">
        <v>11</v>
      </c>
      <c r="G116" t="s">
        <v>12</v>
      </c>
      <c r="H116">
        <v>4.2</v>
      </c>
      <c r="I116">
        <v>36</v>
      </c>
      <c r="K116" t="str">
        <f>IF(J116="","",IF(COUNTIF($C116:C329,J116)=1,J116,""))</f>
        <v/>
      </c>
    </row>
    <row r="117" spans="1:11" x14ac:dyDescent="0.25">
      <c r="A117">
        <v>15</v>
      </c>
      <c r="B117" t="s">
        <v>243</v>
      </c>
      <c r="C117" t="s">
        <v>244</v>
      </c>
      <c r="D117" t="s">
        <v>10</v>
      </c>
      <c r="E117">
        <v>1</v>
      </c>
      <c r="F117" t="s">
        <v>11</v>
      </c>
      <c r="G117" t="s">
        <v>12</v>
      </c>
      <c r="H117">
        <v>3.7</v>
      </c>
      <c r="I117">
        <v>225</v>
      </c>
    </row>
    <row r="118" spans="1:11" x14ac:dyDescent="0.25">
      <c r="A118">
        <v>16</v>
      </c>
      <c r="B118" t="s">
        <v>245</v>
      </c>
      <c r="C118" t="s">
        <v>246</v>
      </c>
      <c r="D118" t="s">
        <v>15</v>
      </c>
      <c r="E118">
        <v>1</v>
      </c>
      <c r="F118" t="s">
        <v>11</v>
      </c>
      <c r="G118" t="s">
        <v>12</v>
      </c>
      <c r="H118">
        <v>4.5999999999999996</v>
      </c>
      <c r="I118">
        <v>633</v>
      </c>
    </row>
    <row r="119" spans="1:11" x14ac:dyDescent="0.25">
      <c r="A119">
        <v>17</v>
      </c>
      <c r="B119" t="s">
        <v>247</v>
      </c>
      <c r="C119" t="s">
        <v>248</v>
      </c>
      <c r="D119" t="s">
        <v>10</v>
      </c>
      <c r="E119">
        <v>1</v>
      </c>
      <c r="F119" t="s">
        <v>11</v>
      </c>
      <c r="G119" t="s">
        <v>12</v>
      </c>
      <c r="H119">
        <v>4.5</v>
      </c>
      <c r="I119">
        <v>327</v>
      </c>
    </row>
    <row r="120" spans="1:11" x14ac:dyDescent="0.25">
      <c r="A120">
        <v>18</v>
      </c>
      <c r="B120" t="s">
        <v>249</v>
      </c>
      <c r="C120" t="s">
        <v>250</v>
      </c>
      <c r="D120" t="s">
        <v>15</v>
      </c>
      <c r="E120">
        <v>1</v>
      </c>
      <c r="F120" t="s">
        <v>11</v>
      </c>
      <c r="G120" t="s">
        <v>12</v>
      </c>
      <c r="H120">
        <v>4.8</v>
      </c>
      <c r="I120">
        <v>190</v>
      </c>
    </row>
    <row r="121" spans="1:11" x14ac:dyDescent="0.25">
      <c r="A121">
        <v>19</v>
      </c>
      <c r="B121" t="s">
        <v>251</v>
      </c>
      <c r="C121" t="s">
        <v>252</v>
      </c>
      <c r="D121" t="s">
        <v>10</v>
      </c>
      <c r="E121">
        <v>1</v>
      </c>
      <c r="F121" t="s">
        <v>11</v>
      </c>
      <c r="G121" t="s">
        <v>12</v>
      </c>
      <c r="H121">
        <v>3.9</v>
      </c>
      <c r="I121">
        <v>408</v>
      </c>
    </row>
    <row r="122" spans="1:11" x14ac:dyDescent="0.25">
      <c r="A122">
        <v>20</v>
      </c>
      <c r="B122" t="s">
        <v>253</v>
      </c>
      <c r="C122" t="s">
        <v>254</v>
      </c>
      <c r="D122" t="s">
        <v>15</v>
      </c>
      <c r="E122">
        <v>1</v>
      </c>
      <c r="F122" t="s">
        <v>11</v>
      </c>
      <c r="G122" t="s">
        <v>12</v>
      </c>
      <c r="H122">
        <v>4.7</v>
      </c>
      <c r="I122">
        <v>72</v>
      </c>
    </row>
    <row r="123" spans="1:11" x14ac:dyDescent="0.25">
      <c r="A123">
        <v>21</v>
      </c>
      <c r="B123" t="s">
        <v>255</v>
      </c>
      <c r="C123" t="s">
        <v>256</v>
      </c>
      <c r="D123" t="s">
        <v>132</v>
      </c>
      <c r="E123">
        <v>1</v>
      </c>
      <c r="F123" t="s">
        <v>11</v>
      </c>
      <c r="G123" t="s">
        <v>12</v>
      </c>
      <c r="H123">
        <v>4.5</v>
      </c>
      <c r="I123">
        <v>200</v>
      </c>
    </row>
    <row r="124" spans="1:11" x14ac:dyDescent="0.25">
      <c r="A124">
        <v>22</v>
      </c>
      <c r="B124" t="s">
        <v>257</v>
      </c>
      <c r="C124" t="s">
        <v>258</v>
      </c>
      <c r="D124" t="s">
        <v>10</v>
      </c>
      <c r="E124">
        <v>1</v>
      </c>
      <c r="F124" t="s">
        <v>11</v>
      </c>
      <c r="G124" t="s">
        <v>12</v>
      </c>
      <c r="H124">
        <v>4.7</v>
      </c>
      <c r="I124">
        <v>241</v>
      </c>
    </row>
    <row r="125" spans="1:11" x14ac:dyDescent="0.25">
      <c r="A125">
        <v>23</v>
      </c>
      <c r="B125" t="s">
        <v>259</v>
      </c>
      <c r="C125" t="s">
        <v>260</v>
      </c>
      <c r="D125" t="s">
        <v>10</v>
      </c>
      <c r="E125">
        <v>1</v>
      </c>
      <c r="F125" t="s">
        <v>11</v>
      </c>
      <c r="G125" t="s">
        <v>12</v>
      </c>
      <c r="H125">
        <v>4.7</v>
      </c>
      <c r="I125">
        <v>288</v>
      </c>
    </row>
    <row r="126" spans="1:11" x14ac:dyDescent="0.25">
      <c r="A126">
        <v>24</v>
      </c>
      <c r="B126" t="s">
        <v>261</v>
      </c>
      <c r="C126" t="s">
        <v>262</v>
      </c>
      <c r="D126" t="s">
        <v>132</v>
      </c>
      <c r="E126">
        <v>1</v>
      </c>
      <c r="F126" t="s">
        <v>11</v>
      </c>
      <c r="G126" t="s">
        <v>12</v>
      </c>
      <c r="H126">
        <v>4.5999999999999996</v>
      </c>
      <c r="I126">
        <v>154</v>
      </c>
    </row>
    <row r="127" spans="1:11" x14ac:dyDescent="0.25">
      <c r="A127">
        <v>25</v>
      </c>
      <c r="B127" t="s">
        <v>263</v>
      </c>
      <c r="C127" t="s">
        <v>264</v>
      </c>
      <c r="D127" t="s">
        <v>15</v>
      </c>
      <c r="E127">
        <v>1</v>
      </c>
      <c r="F127" t="s">
        <v>11</v>
      </c>
      <c r="G127" t="s">
        <v>12</v>
      </c>
      <c r="H127">
        <v>4.5999999999999996</v>
      </c>
      <c r="I127">
        <v>45</v>
      </c>
    </row>
    <row r="128" spans="1:11" hidden="1" x14ac:dyDescent="0.25">
      <c r="A128">
        <v>26</v>
      </c>
      <c r="B128" t="s">
        <v>265</v>
      </c>
      <c r="C128" t="s">
        <v>266</v>
      </c>
      <c r="D128" t="s">
        <v>15</v>
      </c>
      <c r="E128">
        <v>1</v>
      </c>
      <c r="F128" t="s">
        <v>11</v>
      </c>
      <c r="G128" t="s">
        <v>12</v>
      </c>
      <c r="H128">
        <v>4.5</v>
      </c>
      <c r="I128">
        <v>148</v>
      </c>
    </row>
    <row r="129" spans="1:9" x14ac:dyDescent="0.25">
      <c r="A129">
        <v>27</v>
      </c>
      <c r="B129" t="s">
        <v>267</v>
      </c>
      <c r="C129" t="s">
        <v>268</v>
      </c>
      <c r="D129" t="s">
        <v>10</v>
      </c>
      <c r="E129">
        <v>1</v>
      </c>
      <c r="F129" t="s">
        <v>11</v>
      </c>
      <c r="G129" t="s">
        <v>12</v>
      </c>
      <c r="H129">
        <v>4.3</v>
      </c>
      <c r="I129">
        <v>49</v>
      </c>
    </row>
    <row r="130" spans="1:9" x14ac:dyDescent="0.25">
      <c r="A130">
        <v>28</v>
      </c>
      <c r="B130" t="s">
        <v>269</v>
      </c>
      <c r="C130" t="s">
        <v>270</v>
      </c>
      <c r="D130" t="s">
        <v>15</v>
      </c>
      <c r="E130">
        <v>1</v>
      </c>
      <c r="F130" t="s">
        <v>11</v>
      </c>
      <c r="G130" t="s">
        <v>12</v>
      </c>
      <c r="H130">
        <v>4.3</v>
      </c>
      <c r="I130">
        <v>45</v>
      </c>
    </row>
    <row r="131" spans="1:9" hidden="1" x14ac:dyDescent="0.25">
      <c r="A131">
        <v>29</v>
      </c>
      <c r="B131" t="s">
        <v>271</v>
      </c>
      <c r="C131" t="s">
        <v>272</v>
      </c>
      <c r="D131" t="s">
        <v>15</v>
      </c>
      <c r="E131">
        <v>1</v>
      </c>
      <c r="F131" t="s">
        <v>11</v>
      </c>
      <c r="G131" t="s">
        <v>12</v>
      </c>
      <c r="H131">
        <v>4.2</v>
      </c>
      <c r="I131">
        <v>564</v>
      </c>
    </row>
    <row r="132" spans="1:9" hidden="1" x14ac:dyDescent="0.25">
      <c r="A132">
        <v>30</v>
      </c>
      <c r="B132" t="s">
        <v>273</v>
      </c>
      <c r="C132" t="s">
        <v>274</v>
      </c>
      <c r="D132" t="s">
        <v>15</v>
      </c>
      <c r="E132">
        <v>1</v>
      </c>
      <c r="F132" t="s">
        <v>11</v>
      </c>
      <c r="G132" t="s">
        <v>12</v>
      </c>
      <c r="H132">
        <v>4.5999999999999996</v>
      </c>
      <c r="I132">
        <v>546</v>
      </c>
    </row>
    <row r="133" spans="1:9" x14ac:dyDescent="0.25">
      <c r="A133">
        <v>31</v>
      </c>
      <c r="B133" t="s">
        <v>275</v>
      </c>
      <c r="C133" t="s">
        <v>276</v>
      </c>
      <c r="D133" t="s">
        <v>10</v>
      </c>
      <c r="E133">
        <v>1</v>
      </c>
      <c r="F133" t="s">
        <v>11</v>
      </c>
      <c r="G133" t="s">
        <v>12</v>
      </c>
      <c r="H133">
        <v>4.4000000000000004</v>
      </c>
      <c r="I133">
        <v>124</v>
      </c>
    </row>
    <row r="134" spans="1:9" x14ac:dyDescent="0.25">
      <c r="A134">
        <v>32</v>
      </c>
      <c r="B134" t="s">
        <v>277</v>
      </c>
      <c r="C134" t="s">
        <v>278</v>
      </c>
      <c r="D134" t="s">
        <v>10</v>
      </c>
      <c r="E134">
        <v>1</v>
      </c>
      <c r="F134" t="s">
        <v>11</v>
      </c>
      <c r="G134" t="s">
        <v>12</v>
      </c>
      <c r="H134">
        <v>4.4000000000000004</v>
      </c>
      <c r="I134">
        <v>19</v>
      </c>
    </row>
    <row r="135" spans="1:9" x14ac:dyDescent="0.25">
      <c r="A135">
        <v>33</v>
      </c>
      <c r="B135" t="s">
        <v>279</v>
      </c>
      <c r="C135" t="s">
        <v>280</v>
      </c>
      <c r="D135" t="s">
        <v>10</v>
      </c>
      <c r="E135">
        <v>2</v>
      </c>
      <c r="F135" t="s">
        <v>11</v>
      </c>
      <c r="G135" t="s">
        <v>281</v>
      </c>
      <c r="H135">
        <v>2.5</v>
      </c>
      <c r="I135">
        <v>2</v>
      </c>
    </row>
    <row r="136" spans="1:9" x14ac:dyDescent="0.25">
      <c r="A136">
        <v>34</v>
      </c>
      <c r="B136" t="s">
        <v>282</v>
      </c>
      <c r="C136" t="s">
        <v>283</v>
      </c>
      <c r="D136" t="s">
        <v>10</v>
      </c>
      <c r="E136">
        <v>1</v>
      </c>
      <c r="F136" t="s">
        <v>11</v>
      </c>
      <c r="G136" t="s">
        <v>12</v>
      </c>
      <c r="H136">
        <v>4.4000000000000004</v>
      </c>
      <c r="I136">
        <v>327</v>
      </c>
    </row>
    <row r="137" spans="1:9" hidden="1" x14ac:dyDescent="0.25">
      <c r="A137">
        <v>35</v>
      </c>
      <c r="B137" t="s">
        <v>284</v>
      </c>
      <c r="C137" t="s">
        <v>285</v>
      </c>
      <c r="D137" t="s">
        <v>132</v>
      </c>
      <c r="E137">
        <v>1</v>
      </c>
      <c r="F137" t="s">
        <v>11</v>
      </c>
      <c r="G137" t="s">
        <v>12</v>
      </c>
      <c r="H137">
        <v>4.7</v>
      </c>
      <c r="I137">
        <v>82</v>
      </c>
    </row>
    <row r="138" spans="1:9" hidden="1" x14ac:dyDescent="0.25">
      <c r="A138">
        <v>36</v>
      </c>
      <c r="B138" t="s">
        <v>286</v>
      </c>
      <c r="C138" t="s">
        <v>287</v>
      </c>
      <c r="D138" t="s">
        <v>15</v>
      </c>
      <c r="E138">
        <v>1</v>
      </c>
      <c r="F138" t="s">
        <v>11</v>
      </c>
      <c r="G138" t="s">
        <v>12</v>
      </c>
      <c r="H138">
        <v>4.5</v>
      </c>
      <c r="I138">
        <v>427</v>
      </c>
    </row>
    <row r="139" spans="1:9" x14ac:dyDescent="0.25">
      <c r="A139">
        <v>37</v>
      </c>
      <c r="B139" t="s">
        <v>288</v>
      </c>
      <c r="C139" t="s">
        <v>289</v>
      </c>
      <c r="D139" t="s">
        <v>15</v>
      </c>
      <c r="E139">
        <v>1</v>
      </c>
      <c r="F139" t="s">
        <v>11</v>
      </c>
      <c r="G139" t="s">
        <v>12</v>
      </c>
      <c r="H139">
        <v>4.5999999999999996</v>
      </c>
      <c r="I139">
        <v>244</v>
      </c>
    </row>
    <row r="140" spans="1:9" x14ac:dyDescent="0.25">
      <c r="A140">
        <v>38</v>
      </c>
      <c r="B140" t="s">
        <v>290</v>
      </c>
      <c r="C140" t="s">
        <v>291</v>
      </c>
      <c r="D140" t="s">
        <v>15</v>
      </c>
      <c r="E140">
        <v>1</v>
      </c>
      <c r="F140" t="s">
        <v>11</v>
      </c>
      <c r="G140" t="s">
        <v>12</v>
      </c>
      <c r="H140">
        <v>4.4000000000000004</v>
      </c>
      <c r="I140">
        <v>389</v>
      </c>
    </row>
    <row r="141" spans="1:9" hidden="1" x14ac:dyDescent="0.25">
      <c r="A141">
        <v>39</v>
      </c>
      <c r="B141" t="s">
        <v>292</v>
      </c>
      <c r="C141" t="s">
        <v>293</v>
      </c>
      <c r="D141" t="s">
        <v>10</v>
      </c>
      <c r="E141">
        <v>1</v>
      </c>
      <c r="F141" t="s">
        <v>11</v>
      </c>
      <c r="G141" t="s">
        <v>12</v>
      </c>
      <c r="H141">
        <v>4.4000000000000004</v>
      </c>
      <c r="I141">
        <v>762</v>
      </c>
    </row>
    <row r="142" spans="1:9" hidden="1" x14ac:dyDescent="0.25">
      <c r="A142">
        <v>40</v>
      </c>
      <c r="B142" t="s">
        <v>294</v>
      </c>
      <c r="C142" t="s">
        <v>295</v>
      </c>
      <c r="D142" t="s">
        <v>10</v>
      </c>
      <c r="E142">
        <v>1</v>
      </c>
      <c r="F142" t="s">
        <v>11</v>
      </c>
      <c r="G142" t="s">
        <v>12</v>
      </c>
      <c r="H142">
        <v>4.4000000000000004</v>
      </c>
      <c r="I142">
        <v>468</v>
      </c>
    </row>
    <row r="143" spans="1:9" x14ac:dyDescent="0.25">
      <c r="A143">
        <v>41</v>
      </c>
      <c r="B143" t="s">
        <v>296</v>
      </c>
      <c r="C143" t="s">
        <v>297</v>
      </c>
      <c r="D143" t="s">
        <v>15</v>
      </c>
      <c r="E143">
        <v>1</v>
      </c>
      <c r="F143" t="s">
        <v>11</v>
      </c>
      <c r="G143" t="s">
        <v>12</v>
      </c>
      <c r="H143">
        <v>4.5</v>
      </c>
      <c r="I143">
        <v>27</v>
      </c>
    </row>
    <row r="144" spans="1:9" hidden="1" x14ac:dyDescent="0.25">
      <c r="A144">
        <v>42</v>
      </c>
      <c r="B144" t="s">
        <v>298</v>
      </c>
      <c r="C144" t="s">
        <v>299</v>
      </c>
      <c r="D144" t="s">
        <v>10</v>
      </c>
      <c r="E144">
        <v>1</v>
      </c>
      <c r="F144" t="s">
        <v>11</v>
      </c>
      <c r="G144" t="s">
        <v>12</v>
      </c>
      <c r="H144">
        <v>4.5999999999999996</v>
      </c>
      <c r="I144">
        <v>274</v>
      </c>
    </row>
    <row r="145" spans="1:9" hidden="1" x14ac:dyDescent="0.25">
      <c r="A145">
        <v>43</v>
      </c>
      <c r="B145" t="s">
        <v>300</v>
      </c>
      <c r="C145" t="s">
        <v>301</v>
      </c>
      <c r="D145" t="s">
        <v>132</v>
      </c>
      <c r="E145">
        <v>1</v>
      </c>
      <c r="F145" t="s">
        <v>11</v>
      </c>
      <c r="G145" t="s">
        <v>12</v>
      </c>
      <c r="H145">
        <v>4.4000000000000004</v>
      </c>
      <c r="I145">
        <v>122</v>
      </c>
    </row>
    <row r="146" spans="1:9" x14ac:dyDescent="0.25">
      <c r="A146">
        <v>44</v>
      </c>
      <c r="B146" t="s">
        <v>302</v>
      </c>
      <c r="C146" t="s">
        <v>303</v>
      </c>
      <c r="D146" t="s">
        <v>10</v>
      </c>
      <c r="E146">
        <v>1</v>
      </c>
      <c r="F146" t="s">
        <v>11</v>
      </c>
      <c r="G146" t="s">
        <v>12</v>
      </c>
      <c r="H146">
        <v>4.7</v>
      </c>
      <c r="I146">
        <v>117</v>
      </c>
    </row>
    <row r="147" spans="1:9" hidden="1" x14ac:dyDescent="0.25">
      <c r="A147">
        <v>45</v>
      </c>
      <c r="B147" t="s">
        <v>304</v>
      </c>
      <c r="C147" t="s">
        <v>305</v>
      </c>
      <c r="D147" t="s">
        <v>10</v>
      </c>
      <c r="E147">
        <v>1</v>
      </c>
      <c r="F147" t="s">
        <v>11</v>
      </c>
      <c r="G147" t="s">
        <v>12</v>
      </c>
      <c r="H147">
        <v>4.5999999999999996</v>
      </c>
      <c r="I147">
        <v>43</v>
      </c>
    </row>
    <row r="148" spans="1:9" hidden="1" x14ac:dyDescent="0.25">
      <c r="A148">
        <v>46</v>
      </c>
      <c r="B148" t="s">
        <v>306</v>
      </c>
      <c r="C148" t="s">
        <v>307</v>
      </c>
      <c r="D148" t="s">
        <v>10</v>
      </c>
      <c r="E148">
        <v>1</v>
      </c>
      <c r="F148" t="s">
        <v>11</v>
      </c>
      <c r="G148" t="s">
        <v>12</v>
      </c>
      <c r="H148">
        <v>4.5</v>
      </c>
      <c r="I148">
        <v>370</v>
      </c>
    </row>
    <row r="149" spans="1:9" x14ac:dyDescent="0.25">
      <c r="A149">
        <v>47</v>
      </c>
      <c r="B149" t="s">
        <v>308</v>
      </c>
      <c r="C149" t="s">
        <v>309</v>
      </c>
      <c r="D149" t="s">
        <v>15</v>
      </c>
      <c r="E149">
        <v>1</v>
      </c>
      <c r="F149" t="s">
        <v>11</v>
      </c>
      <c r="G149" t="s">
        <v>12</v>
      </c>
      <c r="H149">
        <v>4.5999999999999996</v>
      </c>
      <c r="I149">
        <v>28</v>
      </c>
    </row>
    <row r="150" spans="1:9" x14ac:dyDescent="0.25">
      <c r="A150">
        <v>48</v>
      </c>
      <c r="B150" t="s">
        <v>310</v>
      </c>
      <c r="C150" t="s">
        <v>311</v>
      </c>
      <c r="D150" t="s">
        <v>10</v>
      </c>
      <c r="E150">
        <v>1</v>
      </c>
      <c r="F150" t="s">
        <v>11</v>
      </c>
      <c r="G150" t="s">
        <v>12</v>
      </c>
      <c r="H150">
        <v>4</v>
      </c>
      <c r="I150">
        <v>304</v>
      </c>
    </row>
    <row r="151" spans="1:9" x14ac:dyDescent="0.25">
      <c r="A151">
        <v>49</v>
      </c>
      <c r="B151" t="s">
        <v>312</v>
      </c>
      <c r="C151" t="s">
        <v>313</v>
      </c>
      <c r="D151" t="s">
        <v>15</v>
      </c>
      <c r="E151">
        <v>1</v>
      </c>
      <c r="F151" t="s">
        <v>11</v>
      </c>
      <c r="G151" t="s">
        <v>12</v>
      </c>
      <c r="H151">
        <v>4.7</v>
      </c>
      <c r="I151">
        <v>49</v>
      </c>
    </row>
    <row r="152" spans="1:9" x14ac:dyDescent="0.25">
      <c r="A152">
        <v>50</v>
      </c>
      <c r="B152" t="s">
        <v>314</v>
      </c>
      <c r="C152" t="s">
        <v>315</v>
      </c>
      <c r="D152" t="s">
        <v>15</v>
      </c>
      <c r="E152">
        <v>1</v>
      </c>
      <c r="F152" t="s">
        <v>11</v>
      </c>
      <c r="G152" t="s">
        <v>12</v>
      </c>
      <c r="H152">
        <v>4.8</v>
      </c>
      <c r="I152">
        <v>18</v>
      </c>
    </row>
    <row r="153" spans="1:9" hidden="1" x14ac:dyDescent="0.25">
      <c r="A153">
        <v>51</v>
      </c>
      <c r="B153" t="s">
        <v>316</v>
      </c>
      <c r="C153" t="s">
        <v>317</v>
      </c>
      <c r="D153" t="s">
        <v>10</v>
      </c>
      <c r="E153">
        <v>1</v>
      </c>
      <c r="F153" t="s">
        <v>11</v>
      </c>
      <c r="G153" t="s">
        <v>12</v>
      </c>
      <c r="H153">
        <v>4.7</v>
      </c>
      <c r="I153">
        <v>188</v>
      </c>
    </row>
    <row r="154" spans="1:9" x14ac:dyDescent="0.25">
      <c r="A154">
        <v>52</v>
      </c>
      <c r="B154" t="s">
        <v>318</v>
      </c>
      <c r="C154" t="s">
        <v>319</v>
      </c>
      <c r="D154" t="s">
        <v>10</v>
      </c>
      <c r="E154">
        <v>1</v>
      </c>
      <c r="F154" t="s">
        <v>11</v>
      </c>
      <c r="G154" t="s">
        <v>12</v>
      </c>
      <c r="H154">
        <v>4.7</v>
      </c>
      <c r="I154">
        <v>48</v>
      </c>
    </row>
    <row r="155" spans="1:9" x14ac:dyDescent="0.25">
      <c r="A155">
        <v>53</v>
      </c>
      <c r="B155" t="s">
        <v>320</v>
      </c>
      <c r="C155" t="s">
        <v>321</v>
      </c>
      <c r="D155" t="s">
        <v>132</v>
      </c>
      <c r="E155">
        <v>1</v>
      </c>
      <c r="F155" t="s">
        <v>11</v>
      </c>
      <c r="G155" t="s">
        <v>12</v>
      </c>
      <c r="H155">
        <v>4.8</v>
      </c>
      <c r="I155">
        <v>33</v>
      </c>
    </row>
    <row r="156" spans="1:9" x14ac:dyDescent="0.25">
      <c r="A156">
        <v>54</v>
      </c>
      <c r="B156" t="s">
        <v>322</v>
      </c>
      <c r="C156" t="s">
        <v>323</v>
      </c>
      <c r="D156" t="s">
        <v>10</v>
      </c>
      <c r="E156">
        <v>1</v>
      </c>
      <c r="F156" t="s">
        <v>11</v>
      </c>
      <c r="G156" t="s">
        <v>12</v>
      </c>
      <c r="H156">
        <v>4.4000000000000004</v>
      </c>
      <c r="I156">
        <v>34</v>
      </c>
    </row>
    <row r="157" spans="1:9" x14ac:dyDescent="0.25">
      <c r="A157">
        <v>55</v>
      </c>
      <c r="B157" t="s">
        <v>324</v>
      </c>
      <c r="C157" t="s">
        <v>325</v>
      </c>
      <c r="D157" t="s">
        <v>10</v>
      </c>
      <c r="E157">
        <v>1</v>
      </c>
      <c r="F157" t="s">
        <v>11</v>
      </c>
      <c r="G157" t="s">
        <v>12</v>
      </c>
      <c r="H157">
        <v>4.5</v>
      </c>
      <c r="I157">
        <v>209</v>
      </c>
    </row>
    <row r="158" spans="1:9" x14ac:dyDescent="0.25">
      <c r="A158">
        <v>56</v>
      </c>
      <c r="B158" t="s">
        <v>326</v>
      </c>
      <c r="C158" t="s">
        <v>327</v>
      </c>
      <c r="D158" t="s">
        <v>132</v>
      </c>
      <c r="E158">
        <v>1</v>
      </c>
      <c r="F158" t="s">
        <v>11</v>
      </c>
      <c r="G158" t="s">
        <v>12</v>
      </c>
      <c r="H158">
        <v>4.4000000000000004</v>
      </c>
      <c r="I158">
        <v>287</v>
      </c>
    </row>
    <row r="159" spans="1:9" x14ac:dyDescent="0.25">
      <c r="A159">
        <v>57</v>
      </c>
      <c r="B159" t="s">
        <v>328</v>
      </c>
      <c r="C159" t="s">
        <v>329</v>
      </c>
      <c r="D159" t="s">
        <v>15</v>
      </c>
      <c r="E159">
        <v>1</v>
      </c>
      <c r="F159" t="s">
        <v>11</v>
      </c>
      <c r="G159" t="s">
        <v>12</v>
      </c>
      <c r="H159">
        <v>4.5999999999999996</v>
      </c>
      <c r="I159">
        <v>391</v>
      </c>
    </row>
    <row r="160" spans="1:9" x14ac:dyDescent="0.25">
      <c r="A160">
        <v>58</v>
      </c>
      <c r="B160" t="s">
        <v>330</v>
      </c>
      <c r="C160" t="s">
        <v>331</v>
      </c>
      <c r="D160" t="s">
        <v>10</v>
      </c>
      <c r="E160">
        <v>1</v>
      </c>
      <c r="F160" t="s">
        <v>11</v>
      </c>
      <c r="G160" t="s">
        <v>12</v>
      </c>
      <c r="H160">
        <v>4.5999999999999996</v>
      </c>
      <c r="I160">
        <v>18</v>
      </c>
    </row>
    <row r="161" spans="1:9" x14ac:dyDescent="0.25">
      <c r="A161">
        <v>59</v>
      </c>
      <c r="B161" t="s">
        <v>332</v>
      </c>
      <c r="C161" t="s">
        <v>333</v>
      </c>
      <c r="D161" t="s">
        <v>15</v>
      </c>
      <c r="E161">
        <v>1</v>
      </c>
      <c r="F161" t="s">
        <v>11</v>
      </c>
      <c r="G161" t="s">
        <v>12</v>
      </c>
      <c r="H161">
        <v>4.5</v>
      </c>
      <c r="I161">
        <v>224</v>
      </c>
    </row>
    <row r="162" spans="1:9" x14ac:dyDescent="0.25">
      <c r="A162">
        <v>60</v>
      </c>
      <c r="B162" t="s">
        <v>334</v>
      </c>
      <c r="C162" t="s">
        <v>335</v>
      </c>
      <c r="D162" t="s">
        <v>10</v>
      </c>
      <c r="E162">
        <v>1</v>
      </c>
      <c r="F162" t="s">
        <v>11</v>
      </c>
      <c r="G162" t="s">
        <v>12</v>
      </c>
      <c r="H162">
        <v>4.5999999999999996</v>
      </c>
      <c r="I162">
        <v>79</v>
      </c>
    </row>
    <row r="163" spans="1:9" hidden="1" x14ac:dyDescent="0.25">
      <c r="A163">
        <v>61</v>
      </c>
      <c r="B163" t="s">
        <v>336</v>
      </c>
      <c r="C163" t="s">
        <v>337</v>
      </c>
      <c r="D163" t="s">
        <v>10</v>
      </c>
      <c r="E163">
        <v>1</v>
      </c>
      <c r="F163" t="s">
        <v>11</v>
      </c>
      <c r="G163" t="s">
        <v>12</v>
      </c>
      <c r="H163">
        <v>4.5</v>
      </c>
      <c r="I163">
        <v>157</v>
      </c>
    </row>
    <row r="164" spans="1:9" x14ac:dyDescent="0.25">
      <c r="A164">
        <v>62</v>
      </c>
      <c r="B164" t="s">
        <v>338</v>
      </c>
      <c r="C164" t="s">
        <v>339</v>
      </c>
      <c r="D164" t="s">
        <v>10</v>
      </c>
      <c r="E164">
        <v>1</v>
      </c>
      <c r="F164" t="s">
        <v>11</v>
      </c>
      <c r="G164" t="s">
        <v>12</v>
      </c>
      <c r="H164">
        <v>3.6</v>
      </c>
      <c r="I164">
        <v>21</v>
      </c>
    </row>
    <row r="165" spans="1:9" x14ac:dyDescent="0.25">
      <c r="A165">
        <v>63</v>
      </c>
      <c r="B165" t="s">
        <v>340</v>
      </c>
      <c r="C165" t="s">
        <v>341</v>
      </c>
      <c r="D165" t="s">
        <v>15</v>
      </c>
      <c r="E165">
        <v>1</v>
      </c>
      <c r="F165" t="s">
        <v>11</v>
      </c>
      <c r="G165" t="s">
        <v>12</v>
      </c>
      <c r="H165">
        <v>4.4000000000000004</v>
      </c>
      <c r="I165">
        <v>27</v>
      </c>
    </row>
    <row r="166" spans="1:9" hidden="1" x14ac:dyDescent="0.25">
      <c r="A166">
        <v>64</v>
      </c>
      <c r="B166" t="s">
        <v>342</v>
      </c>
      <c r="C166" t="s">
        <v>343</v>
      </c>
      <c r="D166" t="s">
        <v>10</v>
      </c>
      <c r="E166">
        <v>1</v>
      </c>
      <c r="F166" t="s">
        <v>11</v>
      </c>
      <c r="G166" t="s">
        <v>12</v>
      </c>
      <c r="H166">
        <v>4.4000000000000004</v>
      </c>
      <c r="I166">
        <v>238</v>
      </c>
    </row>
    <row r="167" spans="1:9" x14ac:dyDescent="0.25">
      <c r="A167">
        <v>65</v>
      </c>
      <c r="B167" t="s">
        <v>344</v>
      </c>
      <c r="C167" t="s">
        <v>345</v>
      </c>
      <c r="D167" t="s">
        <v>15</v>
      </c>
      <c r="E167">
        <v>1</v>
      </c>
      <c r="F167" t="s">
        <v>11</v>
      </c>
      <c r="G167" t="s">
        <v>12</v>
      </c>
      <c r="H167">
        <v>4.7</v>
      </c>
      <c r="I167">
        <v>61</v>
      </c>
    </row>
    <row r="168" spans="1:9" x14ac:dyDescent="0.25">
      <c r="A168">
        <v>66</v>
      </c>
      <c r="B168" t="s">
        <v>346</v>
      </c>
      <c r="C168" t="s">
        <v>347</v>
      </c>
      <c r="D168" t="s">
        <v>10</v>
      </c>
      <c r="E168">
        <v>1</v>
      </c>
      <c r="F168" t="s">
        <v>11</v>
      </c>
      <c r="G168" t="s">
        <v>12</v>
      </c>
      <c r="H168">
        <v>4.5999999999999996</v>
      </c>
      <c r="I168">
        <v>227</v>
      </c>
    </row>
    <row r="169" spans="1:9" x14ac:dyDescent="0.25">
      <c r="A169">
        <v>67</v>
      </c>
      <c r="B169" t="s">
        <v>348</v>
      </c>
      <c r="C169" t="s">
        <v>349</v>
      </c>
      <c r="D169" t="s">
        <v>10</v>
      </c>
      <c r="E169">
        <v>1</v>
      </c>
      <c r="F169" t="s">
        <v>11</v>
      </c>
      <c r="G169" t="s">
        <v>12</v>
      </c>
      <c r="H169">
        <v>4.5999999999999996</v>
      </c>
      <c r="I169">
        <v>107</v>
      </c>
    </row>
    <row r="170" spans="1:9" x14ac:dyDescent="0.25">
      <c r="A170">
        <v>68</v>
      </c>
      <c r="B170" t="s">
        <v>350</v>
      </c>
      <c r="C170" t="s">
        <v>351</v>
      </c>
      <c r="D170" t="s">
        <v>10</v>
      </c>
      <c r="E170">
        <v>1</v>
      </c>
      <c r="F170" t="s">
        <v>11</v>
      </c>
      <c r="G170" t="s">
        <v>12</v>
      </c>
      <c r="H170">
        <v>4.5999999999999996</v>
      </c>
      <c r="I170">
        <v>186</v>
      </c>
    </row>
    <row r="171" spans="1:9" hidden="1" x14ac:dyDescent="0.25">
      <c r="A171">
        <v>69</v>
      </c>
      <c r="B171" t="s">
        <v>352</v>
      </c>
      <c r="C171" t="s">
        <v>353</v>
      </c>
      <c r="D171" t="s">
        <v>10</v>
      </c>
      <c r="E171">
        <v>1</v>
      </c>
      <c r="F171" t="s">
        <v>11</v>
      </c>
      <c r="G171" t="s">
        <v>12</v>
      </c>
      <c r="H171">
        <v>4.4000000000000004</v>
      </c>
      <c r="I171">
        <v>174</v>
      </c>
    </row>
    <row r="172" spans="1:9" x14ac:dyDescent="0.25">
      <c r="A172">
        <v>70</v>
      </c>
      <c r="B172" t="s">
        <v>354</v>
      </c>
      <c r="C172" t="s">
        <v>355</v>
      </c>
      <c r="D172" t="s">
        <v>10</v>
      </c>
      <c r="E172">
        <v>1</v>
      </c>
      <c r="F172" t="s">
        <v>11</v>
      </c>
      <c r="G172" t="s">
        <v>12</v>
      </c>
      <c r="H172">
        <v>4.5</v>
      </c>
      <c r="I172">
        <v>150</v>
      </c>
    </row>
    <row r="173" spans="1:9" x14ac:dyDescent="0.25">
      <c r="A173">
        <v>71</v>
      </c>
      <c r="B173" t="s">
        <v>356</v>
      </c>
      <c r="C173" t="s">
        <v>357</v>
      </c>
      <c r="D173" t="s">
        <v>10</v>
      </c>
      <c r="E173">
        <v>1</v>
      </c>
      <c r="F173" t="s">
        <v>11</v>
      </c>
      <c r="G173" t="s">
        <v>12</v>
      </c>
      <c r="H173">
        <v>4.7</v>
      </c>
      <c r="I173">
        <v>61</v>
      </c>
    </row>
    <row r="174" spans="1:9" hidden="1" x14ac:dyDescent="0.25">
      <c r="A174">
        <v>72</v>
      </c>
      <c r="B174" t="s">
        <v>358</v>
      </c>
      <c r="C174" t="s">
        <v>359</v>
      </c>
      <c r="D174" t="s">
        <v>15</v>
      </c>
      <c r="E174">
        <v>1</v>
      </c>
      <c r="F174" t="s">
        <v>11</v>
      </c>
      <c r="G174" t="s">
        <v>12</v>
      </c>
      <c r="H174">
        <v>4.5</v>
      </c>
      <c r="I174">
        <v>288</v>
      </c>
    </row>
    <row r="175" spans="1:9" x14ac:dyDescent="0.25">
      <c r="A175">
        <v>73</v>
      </c>
      <c r="B175" t="s">
        <v>360</v>
      </c>
      <c r="C175" t="s">
        <v>361</v>
      </c>
      <c r="D175" t="s">
        <v>10</v>
      </c>
      <c r="E175">
        <v>1</v>
      </c>
      <c r="F175" t="s">
        <v>11</v>
      </c>
      <c r="G175" t="s">
        <v>12</v>
      </c>
      <c r="H175">
        <v>4.5</v>
      </c>
      <c r="I175">
        <v>369</v>
      </c>
    </row>
    <row r="176" spans="1:9" x14ac:dyDescent="0.25">
      <c r="A176">
        <v>74</v>
      </c>
      <c r="B176" t="s">
        <v>362</v>
      </c>
      <c r="C176" t="s">
        <v>363</v>
      </c>
      <c r="D176" t="s">
        <v>10</v>
      </c>
      <c r="E176">
        <v>1</v>
      </c>
      <c r="F176" t="s">
        <v>11</v>
      </c>
      <c r="G176" t="s">
        <v>12</v>
      </c>
      <c r="H176">
        <v>4.5</v>
      </c>
      <c r="I176">
        <v>219</v>
      </c>
    </row>
    <row r="177" spans="1:9" x14ac:dyDescent="0.25">
      <c r="A177">
        <v>75</v>
      </c>
      <c r="B177" t="s">
        <v>364</v>
      </c>
      <c r="C177" t="s">
        <v>365</v>
      </c>
      <c r="D177" t="s">
        <v>15</v>
      </c>
      <c r="E177">
        <v>1</v>
      </c>
      <c r="F177" t="s">
        <v>11</v>
      </c>
      <c r="G177" t="s">
        <v>12</v>
      </c>
      <c r="H177">
        <v>4.7</v>
      </c>
      <c r="I177">
        <v>1396</v>
      </c>
    </row>
    <row r="178" spans="1:9" x14ac:dyDescent="0.25">
      <c r="A178">
        <v>76</v>
      </c>
      <c r="B178" t="s">
        <v>366</v>
      </c>
      <c r="C178" t="s">
        <v>367</v>
      </c>
      <c r="D178" t="s">
        <v>10</v>
      </c>
      <c r="E178">
        <v>1</v>
      </c>
      <c r="F178" t="s">
        <v>11</v>
      </c>
      <c r="G178" t="s">
        <v>12</v>
      </c>
      <c r="H178">
        <v>4.5999999999999996</v>
      </c>
      <c r="I178">
        <v>124</v>
      </c>
    </row>
    <row r="179" spans="1:9" x14ac:dyDescent="0.25">
      <c r="A179">
        <v>77</v>
      </c>
      <c r="B179" t="s">
        <v>368</v>
      </c>
      <c r="C179" t="s">
        <v>369</v>
      </c>
      <c r="D179" t="s">
        <v>10</v>
      </c>
      <c r="E179">
        <v>1</v>
      </c>
      <c r="F179" t="s">
        <v>11</v>
      </c>
      <c r="G179" t="s">
        <v>12</v>
      </c>
      <c r="H179">
        <v>4.8</v>
      </c>
      <c r="I179">
        <v>106</v>
      </c>
    </row>
    <row r="180" spans="1:9" x14ac:dyDescent="0.25">
      <c r="A180">
        <v>78</v>
      </c>
      <c r="B180" t="s">
        <v>370</v>
      </c>
      <c r="C180" t="s">
        <v>371</v>
      </c>
      <c r="D180" t="s">
        <v>15</v>
      </c>
      <c r="E180">
        <v>1</v>
      </c>
      <c r="F180" t="s">
        <v>11</v>
      </c>
      <c r="G180" t="s">
        <v>12</v>
      </c>
      <c r="H180">
        <v>4.9000000000000004</v>
      </c>
      <c r="I180">
        <v>10</v>
      </c>
    </row>
    <row r="181" spans="1:9" x14ac:dyDescent="0.25">
      <c r="A181">
        <v>79</v>
      </c>
      <c r="B181" t="s">
        <v>372</v>
      </c>
      <c r="C181" t="s">
        <v>373</v>
      </c>
      <c r="D181" t="s">
        <v>132</v>
      </c>
      <c r="E181">
        <v>1</v>
      </c>
      <c r="F181" t="s">
        <v>11</v>
      </c>
      <c r="G181" t="s">
        <v>12</v>
      </c>
      <c r="H181">
        <v>4.7</v>
      </c>
      <c r="I181">
        <v>69</v>
      </c>
    </row>
    <row r="182" spans="1:9" x14ac:dyDescent="0.25">
      <c r="A182">
        <v>80</v>
      </c>
      <c r="B182" t="s">
        <v>374</v>
      </c>
      <c r="C182" t="s">
        <v>375</v>
      </c>
      <c r="D182" t="s">
        <v>10</v>
      </c>
      <c r="E182">
        <v>1</v>
      </c>
      <c r="F182" t="s">
        <v>11</v>
      </c>
      <c r="G182" t="s">
        <v>12</v>
      </c>
      <c r="H182">
        <v>4.5999999999999996</v>
      </c>
      <c r="I182">
        <v>64</v>
      </c>
    </row>
    <row r="183" spans="1:9" x14ac:dyDescent="0.25">
      <c r="A183">
        <v>81</v>
      </c>
      <c r="B183" t="s">
        <v>376</v>
      </c>
      <c r="C183" t="s">
        <v>377</v>
      </c>
      <c r="D183" t="s">
        <v>10</v>
      </c>
      <c r="E183">
        <v>1</v>
      </c>
      <c r="F183" t="s">
        <v>11</v>
      </c>
      <c r="G183" t="s">
        <v>12</v>
      </c>
      <c r="H183">
        <v>4.9000000000000004</v>
      </c>
      <c r="I183">
        <v>15</v>
      </c>
    </row>
    <row r="184" spans="1:9" hidden="1" x14ac:dyDescent="0.25">
      <c r="A184">
        <v>82</v>
      </c>
      <c r="B184" t="s">
        <v>378</v>
      </c>
      <c r="C184" t="s">
        <v>379</v>
      </c>
      <c r="D184" t="s">
        <v>10</v>
      </c>
      <c r="E184">
        <v>1</v>
      </c>
      <c r="F184" t="s">
        <v>11</v>
      </c>
      <c r="G184" t="s">
        <v>12</v>
      </c>
      <c r="H184">
        <v>4.3</v>
      </c>
      <c r="I184">
        <v>39</v>
      </c>
    </row>
    <row r="185" spans="1:9" x14ac:dyDescent="0.25">
      <c r="A185">
        <v>83</v>
      </c>
      <c r="B185" t="s">
        <v>380</v>
      </c>
      <c r="C185" t="s">
        <v>381</v>
      </c>
      <c r="D185" t="s">
        <v>10</v>
      </c>
      <c r="E185">
        <v>1</v>
      </c>
      <c r="F185" t="s">
        <v>11</v>
      </c>
      <c r="G185" t="s">
        <v>12</v>
      </c>
      <c r="H185">
        <v>4.5</v>
      </c>
      <c r="I185">
        <v>55</v>
      </c>
    </row>
    <row r="186" spans="1:9" hidden="1" x14ac:dyDescent="0.25">
      <c r="A186">
        <v>84</v>
      </c>
      <c r="B186" t="s">
        <v>382</v>
      </c>
      <c r="C186" t="s">
        <v>383</v>
      </c>
      <c r="D186" t="s">
        <v>15</v>
      </c>
      <c r="E186">
        <v>1</v>
      </c>
      <c r="F186" t="s">
        <v>11</v>
      </c>
      <c r="G186" t="s">
        <v>12</v>
      </c>
      <c r="H186">
        <v>4.5</v>
      </c>
      <c r="I186">
        <v>188</v>
      </c>
    </row>
    <row r="187" spans="1:9" x14ac:dyDescent="0.25">
      <c r="A187">
        <v>85</v>
      </c>
      <c r="B187" t="s">
        <v>384</v>
      </c>
      <c r="C187" t="s">
        <v>385</v>
      </c>
      <c r="D187" t="s">
        <v>15</v>
      </c>
      <c r="E187">
        <v>1</v>
      </c>
      <c r="F187" t="s">
        <v>11</v>
      </c>
      <c r="G187" t="s">
        <v>12</v>
      </c>
      <c r="H187">
        <v>4.5</v>
      </c>
      <c r="I187">
        <v>325</v>
      </c>
    </row>
    <row r="188" spans="1:9" x14ac:dyDescent="0.25">
      <c r="A188">
        <v>86</v>
      </c>
      <c r="B188" t="s">
        <v>386</v>
      </c>
      <c r="C188" t="s">
        <v>387</v>
      </c>
      <c r="D188" t="s">
        <v>10</v>
      </c>
      <c r="E188">
        <v>1</v>
      </c>
      <c r="F188" t="s">
        <v>11</v>
      </c>
      <c r="G188" t="s">
        <v>12</v>
      </c>
      <c r="H188">
        <v>4.5999999999999996</v>
      </c>
      <c r="I188">
        <v>165</v>
      </c>
    </row>
    <row r="189" spans="1:9" x14ac:dyDescent="0.25">
      <c r="A189">
        <v>87</v>
      </c>
      <c r="B189" t="s">
        <v>388</v>
      </c>
      <c r="C189" t="s">
        <v>389</v>
      </c>
      <c r="D189" t="s">
        <v>10</v>
      </c>
      <c r="E189">
        <v>1</v>
      </c>
      <c r="F189" t="s">
        <v>11</v>
      </c>
      <c r="G189" t="s">
        <v>12</v>
      </c>
      <c r="H189">
        <v>4.5</v>
      </c>
      <c r="I189">
        <v>85</v>
      </c>
    </row>
    <row r="190" spans="1:9" x14ac:dyDescent="0.25">
      <c r="A190">
        <v>88</v>
      </c>
      <c r="B190" t="s">
        <v>390</v>
      </c>
      <c r="C190" t="s">
        <v>391</v>
      </c>
      <c r="D190" t="s">
        <v>10</v>
      </c>
      <c r="E190">
        <v>1</v>
      </c>
      <c r="F190" t="s">
        <v>11</v>
      </c>
      <c r="G190" t="s">
        <v>12</v>
      </c>
      <c r="H190">
        <v>3.7</v>
      </c>
      <c r="I190">
        <v>12</v>
      </c>
    </row>
    <row r="191" spans="1:9" x14ac:dyDescent="0.25">
      <c r="A191">
        <v>89</v>
      </c>
      <c r="B191" t="s">
        <v>392</v>
      </c>
      <c r="C191" t="s">
        <v>393</v>
      </c>
      <c r="D191" t="s">
        <v>15</v>
      </c>
      <c r="E191">
        <v>1</v>
      </c>
      <c r="F191" t="s">
        <v>11</v>
      </c>
      <c r="G191" t="s">
        <v>12</v>
      </c>
      <c r="H191">
        <v>4.8</v>
      </c>
      <c r="I191">
        <v>36</v>
      </c>
    </row>
    <row r="192" spans="1:9" x14ac:dyDescent="0.25">
      <c r="A192">
        <v>90</v>
      </c>
      <c r="B192" t="s">
        <v>394</v>
      </c>
      <c r="C192" t="s">
        <v>395</v>
      </c>
      <c r="D192" t="s">
        <v>10</v>
      </c>
      <c r="E192">
        <v>1</v>
      </c>
      <c r="F192" t="s">
        <v>11</v>
      </c>
      <c r="G192" t="s">
        <v>12</v>
      </c>
      <c r="H192">
        <v>4.7</v>
      </c>
      <c r="I192">
        <v>89</v>
      </c>
    </row>
    <row r="193" spans="1:9" x14ac:dyDescent="0.25">
      <c r="A193">
        <v>91</v>
      </c>
      <c r="B193" t="s">
        <v>396</v>
      </c>
      <c r="C193" t="s">
        <v>397</v>
      </c>
      <c r="D193" t="s">
        <v>10</v>
      </c>
      <c r="E193">
        <v>1</v>
      </c>
      <c r="F193" t="s">
        <v>11</v>
      </c>
      <c r="G193" t="s">
        <v>12</v>
      </c>
      <c r="H193">
        <v>4.2</v>
      </c>
      <c r="I193">
        <v>33</v>
      </c>
    </row>
    <row r="194" spans="1:9" x14ac:dyDescent="0.25">
      <c r="A194">
        <v>92</v>
      </c>
      <c r="B194" t="s">
        <v>398</v>
      </c>
      <c r="C194" t="s">
        <v>399</v>
      </c>
      <c r="D194" t="s">
        <v>10</v>
      </c>
      <c r="E194">
        <v>2</v>
      </c>
      <c r="F194" t="s">
        <v>11</v>
      </c>
      <c r="G194" t="s">
        <v>12</v>
      </c>
      <c r="H194">
        <v>5</v>
      </c>
      <c r="I194">
        <v>3</v>
      </c>
    </row>
    <row r="195" spans="1:9" hidden="1" x14ac:dyDescent="0.25">
      <c r="A195">
        <v>93</v>
      </c>
      <c r="B195" t="s">
        <v>400</v>
      </c>
      <c r="C195" t="s">
        <v>401</v>
      </c>
      <c r="D195" t="s">
        <v>10</v>
      </c>
      <c r="E195">
        <v>1</v>
      </c>
      <c r="F195" t="s">
        <v>11</v>
      </c>
      <c r="G195" t="s">
        <v>12</v>
      </c>
      <c r="H195">
        <v>4.5</v>
      </c>
      <c r="I195">
        <v>98</v>
      </c>
    </row>
    <row r="196" spans="1:9" x14ac:dyDescent="0.25">
      <c r="A196">
        <v>94</v>
      </c>
      <c r="B196" t="s">
        <v>402</v>
      </c>
      <c r="C196" t="s">
        <v>403</v>
      </c>
      <c r="D196" t="s">
        <v>10</v>
      </c>
      <c r="E196">
        <v>1</v>
      </c>
      <c r="F196" t="s">
        <v>11</v>
      </c>
      <c r="G196" t="s">
        <v>12</v>
      </c>
      <c r="H196">
        <v>5</v>
      </c>
      <c r="I196">
        <v>6</v>
      </c>
    </row>
    <row r="197" spans="1:9" x14ac:dyDescent="0.25">
      <c r="A197">
        <v>95</v>
      </c>
      <c r="B197" t="s">
        <v>404</v>
      </c>
      <c r="C197" t="s">
        <v>405</v>
      </c>
      <c r="D197" t="s">
        <v>15</v>
      </c>
      <c r="E197">
        <v>1</v>
      </c>
      <c r="F197" t="s">
        <v>11</v>
      </c>
      <c r="G197" t="s">
        <v>12</v>
      </c>
      <c r="H197">
        <v>4.5999999999999996</v>
      </c>
      <c r="I197">
        <v>102</v>
      </c>
    </row>
    <row r="198" spans="1:9" x14ac:dyDescent="0.25">
      <c r="A198">
        <v>96</v>
      </c>
      <c r="B198" t="s">
        <v>406</v>
      </c>
      <c r="C198" t="s">
        <v>407</v>
      </c>
      <c r="D198" t="s">
        <v>10</v>
      </c>
      <c r="E198">
        <v>1</v>
      </c>
      <c r="F198" t="s">
        <v>11</v>
      </c>
      <c r="G198" t="s">
        <v>12</v>
      </c>
      <c r="H198">
        <v>4.5999999999999996</v>
      </c>
      <c r="I198">
        <v>135</v>
      </c>
    </row>
    <row r="199" spans="1:9" x14ac:dyDescent="0.25">
      <c r="A199">
        <v>97</v>
      </c>
      <c r="B199" t="s">
        <v>408</v>
      </c>
      <c r="C199" t="s">
        <v>409</v>
      </c>
      <c r="D199" t="s">
        <v>15</v>
      </c>
      <c r="E199">
        <v>1</v>
      </c>
      <c r="F199" t="s">
        <v>11</v>
      </c>
      <c r="G199" t="s">
        <v>12</v>
      </c>
      <c r="H199">
        <v>4.8</v>
      </c>
      <c r="I199">
        <v>104</v>
      </c>
    </row>
    <row r="200" spans="1:9" x14ac:dyDescent="0.25">
      <c r="A200">
        <v>98</v>
      </c>
      <c r="B200" t="s">
        <v>410</v>
      </c>
      <c r="C200" t="s">
        <v>411</v>
      </c>
      <c r="D200" t="s">
        <v>15</v>
      </c>
      <c r="E200">
        <v>1</v>
      </c>
      <c r="F200" t="s">
        <v>11</v>
      </c>
      <c r="G200" t="s">
        <v>12</v>
      </c>
      <c r="H200">
        <v>4.8</v>
      </c>
      <c r="I200">
        <v>49</v>
      </c>
    </row>
    <row r="201" spans="1:9" x14ac:dyDescent="0.25">
      <c r="A201">
        <v>99</v>
      </c>
      <c r="B201" t="s">
        <v>412</v>
      </c>
      <c r="C201" t="s">
        <v>413</v>
      </c>
      <c r="D201" t="s">
        <v>10</v>
      </c>
      <c r="E201">
        <v>1</v>
      </c>
      <c r="F201" t="s">
        <v>11</v>
      </c>
      <c r="G201" t="s">
        <v>12</v>
      </c>
      <c r="H201">
        <v>4.0999999999999996</v>
      </c>
      <c r="I201">
        <v>54</v>
      </c>
    </row>
    <row r="202" spans="1:9" hidden="1" x14ac:dyDescent="0.25">
      <c r="A202">
        <v>0</v>
      </c>
      <c r="B202" t="s">
        <v>211</v>
      </c>
      <c r="C202" t="s">
        <v>212</v>
      </c>
      <c r="D202" t="s">
        <v>10</v>
      </c>
      <c r="E202">
        <v>1</v>
      </c>
      <c r="F202" t="s">
        <v>11</v>
      </c>
      <c r="G202" t="s">
        <v>12</v>
      </c>
      <c r="H202">
        <v>4.7</v>
      </c>
      <c r="I202">
        <v>63</v>
      </c>
    </row>
    <row r="203" spans="1:9" x14ac:dyDescent="0.25">
      <c r="A203">
        <v>1</v>
      </c>
      <c r="B203" t="s">
        <v>414</v>
      </c>
      <c r="C203" t="s">
        <v>415</v>
      </c>
      <c r="D203" t="s">
        <v>10</v>
      </c>
      <c r="E203">
        <v>2</v>
      </c>
      <c r="F203" t="s">
        <v>11</v>
      </c>
      <c r="G203" t="s">
        <v>12</v>
      </c>
      <c r="H203">
        <v>4</v>
      </c>
      <c r="I203">
        <v>10</v>
      </c>
    </row>
    <row r="204" spans="1:9" hidden="1" x14ac:dyDescent="0.25">
      <c r="A204">
        <v>2</v>
      </c>
      <c r="B204" t="s">
        <v>416</v>
      </c>
      <c r="C204" t="s">
        <v>417</v>
      </c>
      <c r="D204" t="s">
        <v>10</v>
      </c>
      <c r="E204">
        <v>1</v>
      </c>
      <c r="F204" t="s">
        <v>11</v>
      </c>
      <c r="G204" t="s">
        <v>12</v>
      </c>
      <c r="H204">
        <v>4.8</v>
      </c>
      <c r="I204">
        <v>57</v>
      </c>
    </row>
    <row r="205" spans="1:9" x14ac:dyDescent="0.25">
      <c r="A205">
        <v>3</v>
      </c>
      <c r="B205" t="s">
        <v>418</v>
      </c>
      <c r="C205" t="s">
        <v>419</v>
      </c>
      <c r="D205" t="s">
        <v>10</v>
      </c>
      <c r="E205">
        <v>1</v>
      </c>
      <c r="F205" t="s">
        <v>11</v>
      </c>
      <c r="G205" t="s">
        <v>12</v>
      </c>
      <c r="H205">
        <v>4.7</v>
      </c>
      <c r="I205">
        <v>93</v>
      </c>
    </row>
    <row r="206" spans="1:9" hidden="1" x14ac:dyDescent="0.25">
      <c r="A206">
        <v>4</v>
      </c>
      <c r="B206" t="s">
        <v>420</v>
      </c>
      <c r="C206" t="s">
        <v>421</v>
      </c>
      <c r="D206" t="s">
        <v>10</v>
      </c>
      <c r="E206">
        <v>1</v>
      </c>
      <c r="F206" t="s">
        <v>11</v>
      </c>
      <c r="G206" t="s">
        <v>12</v>
      </c>
      <c r="H206">
        <v>4.5999999999999996</v>
      </c>
      <c r="I206">
        <v>70</v>
      </c>
    </row>
    <row r="207" spans="1:9" hidden="1" x14ac:dyDescent="0.25">
      <c r="A207">
        <v>5</v>
      </c>
      <c r="B207" t="s">
        <v>422</v>
      </c>
      <c r="C207" t="s">
        <v>423</v>
      </c>
      <c r="D207" t="s">
        <v>10</v>
      </c>
      <c r="E207">
        <v>1</v>
      </c>
      <c r="F207" t="s">
        <v>11</v>
      </c>
      <c r="G207" t="s">
        <v>12</v>
      </c>
      <c r="H207">
        <v>4.8</v>
      </c>
      <c r="I207">
        <v>41</v>
      </c>
    </row>
    <row r="208" spans="1:9" x14ac:dyDescent="0.25">
      <c r="A208">
        <v>6</v>
      </c>
      <c r="B208" t="s">
        <v>424</v>
      </c>
      <c r="C208" t="s">
        <v>425</v>
      </c>
      <c r="D208" t="s">
        <v>10</v>
      </c>
      <c r="E208">
        <v>2</v>
      </c>
      <c r="F208" t="s">
        <v>11</v>
      </c>
      <c r="G208" t="s">
        <v>12</v>
      </c>
      <c r="H208">
        <v>4.7</v>
      </c>
      <c r="I208">
        <v>3</v>
      </c>
    </row>
    <row r="209" spans="1:9" x14ac:dyDescent="0.25">
      <c r="A209">
        <v>7</v>
      </c>
      <c r="B209" t="s">
        <v>426</v>
      </c>
      <c r="C209" t="s">
        <v>427</v>
      </c>
      <c r="D209" t="s">
        <v>10</v>
      </c>
      <c r="E209">
        <v>1</v>
      </c>
      <c r="F209" t="s">
        <v>11</v>
      </c>
      <c r="G209" t="s">
        <v>12</v>
      </c>
      <c r="H209">
        <v>4.5999999999999996</v>
      </c>
      <c r="I209">
        <v>26</v>
      </c>
    </row>
    <row r="210" spans="1:9" x14ac:dyDescent="0.25">
      <c r="A210">
        <v>8</v>
      </c>
      <c r="B210" t="s">
        <v>428</v>
      </c>
      <c r="C210" t="s">
        <v>429</v>
      </c>
      <c r="D210" t="s">
        <v>10</v>
      </c>
      <c r="E210">
        <v>1</v>
      </c>
      <c r="F210" t="s">
        <v>11</v>
      </c>
      <c r="G210" t="s">
        <v>12</v>
      </c>
      <c r="H210">
        <v>4.8</v>
      </c>
      <c r="I210">
        <v>26</v>
      </c>
    </row>
    <row r="211" spans="1:9" x14ac:dyDescent="0.25">
      <c r="A211">
        <v>9</v>
      </c>
      <c r="B211" t="s">
        <v>430</v>
      </c>
      <c r="C211" t="s">
        <v>431</v>
      </c>
      <c r="D211" t="s">
        <v>15</v>
      </c>
      <c r="E211">
        <v>3</v>
      </c>
      <c r="F211" t="s">
        <v>11</v>
      </c>
      <c r="G211" t="s">
        <v>12</v>
      </c>
      <c r="H211">
        <v>5</v>
      </c>
      <c r="I211">
        <v>3</v>
      </c>
    </row>
    <row r="212" spans="1:9" x14ac:dyDescent="0.25">
      <c r="A212">
        <v>10</v>
      </c>
      <c r="B212" t="s">
        <v>432</v>
      </c>
      <c r="C212" t="s">
        <v>433</v>
      </c>
      <c r="D212" t="s">
        <v>15</v>
      </c>
      <c r="E212">
        <v>2</v>
      </c>
      <c r="F212" t="s">
        <v>11</v>
      </c>
      <c r="G212" t="s">
        <v>12</v>
      </c>
      <c r="H212">
        <v>4</v>
      </c>
      <c r="I212">
        <v>2</v>
      </c>
    </row>
    <row r="213" spans="1:9" x14ac:dyDescent="0.25">
      <c r="A213">
        <v>11</v>
      </c>
      <c r="B213" t="s">
        <v>434</v>
      </c>
      <c r="C213" t="s">
        <v>435</v>
      </c>
      <c r="D213" t="s">
        <v>15</v>
      </c>
      <c r="E213">
        <v>3</v>
      </c>
      <c r="F213" t="s">
        <v>11</v>
      </c>
      <c r="G213" t="s">
        <v>12</v>
      </c>
      <c r="H213">
        <v>5</v>
      </c>
      <c r="I213">
        <v>2</v>
      </c>
    </row>
    <row r="214" spans="1:9" x14ac:dyDescent="0.25">
      <c r="A214">
        <v>12</v>
      </c>
      <c r="B214" t="s">
        <v>436</v>
      </c>
      <c r="C214" t="s">
        <v>437</v>
      </c>
      <c r="D214" t="s">
        <v>10</v>
      </c>
      <c r="E214">
        <v>4</v>
      </c>
      <c r="F214" t="s">
        <v>11</v>
      </c>
      <c r="G214" t="s">
        <v>12</v>
      </c>
      <c r="I214">
        <v>0</v>
      </c>
    </row>
    <row r="215" spans="1:9" x14ac:dyDescent="0.25">
      <c r="A215">
        <v>13</v>
      </c>
      <c r="B215" t="s">
        <v>438</v>
      </c>
      <c r="C215" t="s">
        <v>439</v>
      </c>
      <c r="D215" t="s">
        <v>10</v>
      </c>
      <c r="E215">
        <v>4</v>
      </c>
      <c r="F215" t="s">
        <v>11</v>
      </c>
      <c r="G215" t="s">
        <v>12</v>
      </c>
      <c r="I215">
        <v>0</v>
      </c>
    </row>
  </sheetData>
  <autoFilter ref="A1:K215">
    <filterColumn colId="2">
      <colorFilter dxfId="49"/>
    </filterColumn>
  </autoFilter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33294E2-F86C-4708-A8E3-BBA9197FCEFD}">
            <xm:f>NOT(ISERROR(SEARCH($J$2,C1)))</xm:f>
            <xm:f>$J$2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" operator="containsText" id="{4DC29932-E25E-4EF3-B0D4-EF0DF8E6BD5D}">
            <xm:f>NOT(ISERROR(SEARCH($J$8,C1)))</xm:f>
            <xm:f>$J$8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" operator="containsText" id="{F1A370C4-5C9B-40E4-877B-7E963A55E81E}">
            <xm:f>NOT(ISERROR(SEARCH($J$9,C1)))</xm:f>
            <xm:f>$J$9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4" operator="containsText" id="{25F0838D-25E1-40B7-A435-B8B8FF60951C}">
            <xm:f>NOT(ISERROR(SEARCH($J$12,C1)))</xm:f>
            <xm:f>$J$12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" operator="containsText" id="{6393CD7C-DA11-4BBC-BC3F-C9C1EEDF3125}">
            <xm:f>NOT(ISERROR(SEARCH($J$26,C1)))</xm:f>
            <xm:f>$J$26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" operator="containsText" id="{CE78FB8E-5079-4467-A4D1-88DE7F31F96F}">
            <xm:f>NOT(ISERROR(SEARCH($J$30,C1)))</xm:f>
            <xm:f>$J$30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7" operator="containsText" id="{B988DB90-EACA-40E2-ADD3-05D05BD0A6E8}">
            <xm:f>NOT(ISERROR(SEARCH($J$35,C1)))</xm:f>
            <xm:f>$J$35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8" operator="containsText" id="{6CF2F451-7C6C-4A8E-8EA1-B622FAC5B091}">
            <xm:f>NOT(ISERROR(SEARCH($J$40,C1)))</xm:f>
            <xm:f>$J$40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9" operator="containsText" id="{5DF50CE3-0AD4-4471-8CAE-EDF5677A9808}">
            <xm:f>NOT(ISERROR(SEARCH($J$28,C1)))</xm:f>
            <xm:f>$J$28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0" operator="containsText" id="{57A0F1D6-4C99-4968-BE80-454E6D5A08B2}">
            <xm:f>NOT(ISERROR(SEARCH($K$44,C1)))</xm:f>
            <xm:f>$K$44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1" operator="containsText" id="{178D09F5-9855-4864-8E2D-FC33B9487B64}">
            <xm:f>NOT(ISERROR(SEARCH($K$43,C1)))</xm:f>
            <xm:f>$K$43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2" operator="containsText" id="{D0E5A48F-67C4-4245-8270-FB946BE23EC0}">
            <xm:f>NOT(ISERROR(SEARCH($K$42,C1)))</xm:f>
            <xm:f>$K$42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3" operator="containsText" id="{160CB428-55FD-48BA-A4D9-132C5C83C58D}">
            <xm:f>NOT(ISERROR(SEARCH($K$41,C1)))</xm:f>
            <xm:f>$K$41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4" operator="containsText" id="{26B5D263-D42B-4010-A0B8-0C21C97B0383}">
            <xm:f>NOT(ISERROR(SEARCH($K$39,C1)))</xm:f>
            <xm:f>$K$39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5" operator="containsText" id="{BCF0D7D7-68BC-481E-A49D-62B29DE33816}">
            <xm:f>NOT(ISERROR(SEARCH($K$38,C1)))</xm:f>
            <xm:f>$K$38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6" operator="containsText" id="{743AC7A4-0AEB-468C-AC6A-A8C90A10AFDD}">
            <xm:f>NOT(ISERROR(SEARCH($K$37,C1)))</xm:f>
            <xm:f>$K$37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" operator="containsText" id="{D9CAC364-FEDE-46DA-9838-DEB60ECDAB7B}">
            <xm:f>NOT(ISERROR(SEARCH($K$36,C1)))</xm:f>
            <xm:f>$K$36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" operator="containsText" id="{93943642-4EB3-41A8-A5D4-8785205236A2}">
            <xm:f>NOT(ISERROR(SEARCH($K$34,C1)))</xm:f>
            <xm:f>$K$34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9" operator="containsText" id="{F995CA91-8A7C-4AA2-9A52-0A2581C800AF}">
            <xm:f>NOT(ISERROR(SEARCH($K$33,C1)))</xm:f>
            <xm:f>$K$33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" operator="containsText" id="{B94667AC-7295-4156-A375-8D0C16199BC4}">
            <xm:f>NOT(ISERROR(SEARCH($K$32,C1)))</xm:f>
            <xm:f>$K$32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" operator="containsText" id="{F3C51015-1E5E-48A8-BDEE-714CCE79006E}">
            <xm:f>NOT(ISERROR(SEARCH($K$31,C1)))</xm:f>
            <xm:f>$K$31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" operator="containsText" id="{D8DAF6AC-C21D-44C5-A604-CF2D6DD692AA}">
            <xm:f>NOT(ISERROR(SEARCH($K$29,C1)))</xm:f>
            <xm:f>$K$29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" operator="containsText" id="{F6480F6C-3AB7-4795-B89A-6316DEAC89A8}">
            <xm:f>NOT(ISERROR(SEARCH($K$27,C1)))</xm:f>
            <xm:f>$K$27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4" operator="containsText" id="{720FD221-0973-4B35-B74A-46CC409C57F0}">
            <xm:f>NOT(ISERROR(SEARCH($K$25,C1)))</xm:f>
            <xm:f>$K$25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5" operator="containsText" id="{3258400A-CDF3-4DAE-AB25-F1DA179236E0}">
            <xm:f>NOT(ISERROR(SEARCH($K$24,C1)))</xm:f>
            <xm:f>$K$24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6" operator="containsText" id="{79DFA729-0E50-4215-A4F0-24205DCEB1AB}">
            <xm:f>NOT(ISERROR(SEARCH($K$22,C1)))</xm:f>
            <xm:f>$K$22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7" operator="containsText" id="{60CFB326-7C83-4FD8-B7F3-17F8C0B56213}">
            <xm:f>NOT(ISERROR(SEARCH($K$21,C1)))</xm:f>
            <xm:f>$K$21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8" operator="containsText" id="{BEBD98E5-EBEA-404F-B375-D9B90F1417AE}">
            <xm:f>NOT(ISERROR(SEARCH($K$20,C1)))</xm:f>
            <xm:f>$K$20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" operator="containsText" id="{23E9C3BC-961C-44B6-9F0F-CFCCB02B2AF4}">
            <xm:f>NOT(ISERROR(SEARCH($K$19,C1)))</xm:f>
            <xm:f>$K$19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" operator="containsText" id="{B8476202-A647-4306-B747-B04274EE6007}">
            <xm:f>NOT(ISERROR(SEARCH($K$18,C1)))</xm:f>
            <xm:f>$K$18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1" operator="containsText" id="{C4DC7559-5160-4672-97A9-F15FE6ECC2B1}">
            <xm:f>NOT(ISERROR(SEARCH($K$16,C1)))</xm:f>
            <xm:f>$K$16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2" operator="containsText" id="{D1CBAE2E-4BDF-4400-A425-4E422FF19143}">
            <xm:f>NOT(ISERROR(SEARCH($K$17,C1)))</xm:f>
            <xm:f>$K$17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3" operator="containsText" id="{B17363E7-510F-4334-BF8C-5F5717AEB750}">
            <xm:f>NOT(ISERROR(SEARCH($K$15,C1)))</xm:f>
            <xm:f>$K$15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4" operator="containsText" id="{4798710B-3A34-42FD-A09F-CACA23A10803}">
            <xm:f>NOT(ISERROR(SEARCH($K$14,C1)))</xm:f>
            <xm:f>$K$14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5" operator="containsText" id="{5445BAE8-0136-423A-B8C2-C13E1CA92CE3}">
            <xm:f>NOT(ISERROR(SEARCH($K$13,C1)))</xm:f>
            <xm:f>$K$13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6" operator="containsText" id="{67A79FCA-3B50-4339-8623-F82F85D60DD7}">
            <xm:f>NOT(ISERROR(SEARCH($K$11,C1)))</xm:f>
            <xm:f>$K$11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7" operator="containsText" id="{6562C52C-1057-448A-8EEB-6677F81D21A2}">
            <xm:f>NOT(ISERROR(SEARCH($K$10,C1)))</xm:f>
            <xm:f>$K$10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8" operator="containsText" id="{4618298B-8116-4803-ACAC-6E2C566C5D83}">
            <xm:f>NOT(ISERROR(SEARCH($K$7,C1)))</xm:f>
            <xm:f>$K$7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9" operator="containsText" id="{B026F609-DFDB-4EC6-9575-C7F5EF2C7217}">
            <xm:f>NOT(ISERROR(SEARCH($K$6,C1)))</xm:f>
            <xm:f>$K$6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40" operator="containsText" id="{F9974227-6ED9-4C11-BB63-A1EBC14CF6A6}">
            <xm:f>NOT(ISERROR(SEARCH($K$5,C1)))</xm:f>
            <xm:f>$K$5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41" operator="containsText" id="{36EC8878-EB48-41C3-9AF0-80397DBD1702}">
            <xm:f>NOT(ISERROR(SEARCH($K$4,C1)))</xm:f>
            <xm:f>$K$4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42" operator="containsText" id="{5A1DA6D2-CAD0-4346-B672-DE330B2A905A}">
            <xm:f>NOT(ISERROR(SEARCH($K$3,C1)))</xm:f>
            <xm:f>$K$3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C1:C1048576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"/>
  <sheetViews>
    <sheetView topLeftCell="A191" zoomScale="84" zoomScaleNormal="84" workbookViewId="0">
      <selection activeCell="B209" sqref="B209"/>
    </sheetView>
  </sheetViews>
  <sheetFormatPr defaultRowHeight="15" x14ac:dyDescent="0.25"/>
  <cols>
    <col min="2" max="2" width="70.28515625" customWidth="1"/>
    <col min="3" max="3" width="69.7109375" style="2" customWidth="1"/>
    <col min="9" max="9" width="11.28515625" customWidth="1"/>
    <col min="10" max="10" width="32.85546875" customWidth="1"/>
  </cols>
  <sheetData>
    <row r="1" spans="1:11" x14ac:dyDescent="0.25">
      <c r="B1" t="s">
        <v>0</v>
      </c>
      <c r="C1" s="2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445</v>
      </c>
    </row>
    <row r="2" spans="1:11" ht="22.5" customHeight="1" x14ac:dyDescent="0.25">
      <c r="A2" s="1">
        <v>1</v>
      </c>
      <c r="B2" s="1" t="s">
        <v>13</v>
      </c>
      <c r="C2" s="2" t="s">
        <v>14</v>
      </c>
      <c r="D2" s="1" t="s">
        <v>15</v>
      </c>
      <c r="E2" s="1">
        <v>1</v>
      </c>
      <c r="F2" s="1" t="s">
        <v>11</v>
      </c>
      <c r="G2" s="1" t="s">
        <v>12</v>
      </c>
      <c r="H2" s="1">
        <v>4.5999999999999996</v>
      </c>
      <c r="I2" s="1">
        <v>260</v>
      </c>
      <c r="J2" t="s">
        <v>440</v>
      </c>
      <c r="K2" t="str">
        <f>IF(C2="","",IF(COUNTIF($C$2:C$215,J2)=1,C2,""))</f>
        <v/>
      </c>
    </row>
    <row r="3" spans="1:11" s="1" customFormat="1" x14ac:dyDescent="0.25">
      <c r="A3">
        <v>0</v>
      </c>
      <c r="B3" t="s">
        <v>8</v>
      </c>
      <c r="C3" s="2" t="s">
        <v>9</v>
      </c>
      <c r="D3" t="s">
        <v>10</v>
      </c>
      <c r="E3">
        <v>2</v>
      </c>
      <c r="F3" t="s">
        <v>11</v>
      </c>
      <c r="G3" t="s">
        <v>12</v>
      </c>
      <c r="H3">
        <v>4.9000000000000004</v>
      </c>
      <c r="I3">
        <v>8</v>
      </c>
      <c r="J3" t="s">
        <v>14</v>
      </c>
      <c r="K3" t="str">
        <f>IF(C3="","",IF(COUNTIF($C$2:C$215,J3)=1,C3,""))</f>
        <v>Interactive Word Embeddings using Word2Vec and Plotly</v>
      </c>
    </row>
    <row r="4" spans="1:11" x14ac:dyDescent="0.25">
      <c r="A4">
        <v>2</v>
      </c>
      <c r="B4" t="s">
        <v>16</v>
      </c>
      <c r="C4" s="2" t="s">
        <v>17</v>
      </c>
      <c r="D4" t="s">
        <v>15</v>
      </c>
      <c r="E4">
        <v>1</v>
      </c>
      <c r="F4" t="s">
        <v>11</v>
      </c>
      <c r="G4" t="s">
        <v>12</v>
      </c>
      <c r="H4">
        <v>4.7</v>
      </c>
      <c r="I4">
        <v>21</v>
      </c>
      <c r="J4" s="1" t="s">
        <v>43</v>
      </c>
      <c r="K4" t="str">
        <f>IF(C4="","",IF(COUNTIF($C$2:C$215,J4)=1,C4,""))</f>
        <v>English/French Translator: Long Short Term Memory Networks</v>
      </c>
    </row>
    <row r="5" spans="1:11" x14ac:dyDescent="0.25">
      <c r="A5">
        <v>3</v>
      </c>
      <c r="B5" t="s">
        <v>18</v>
      </c>
      <c r="C5" s="2" t="s">
        <v>19</v>
      </c>
      <c r="D5" t="s">
        <v>10</v>
      </c>
      <c r="E5">
        <v>1</v>
      </c>
      <c r="F5" t="s">
        <v>11</v>
      </c>
      <c r="G5" t="s">
        <v>12</v>
      </c>
      <c r="H5">
        <v>4.2</v>
      </c>
      <c r="I5">
        <v>16</v>
      </c>
      <c r="J5" t="s">
        <v>55</v>
      </c>
      <c r="K5" t="str">
        <f>IF(C5="","",IF(COUNTIF($C$2:C$215,J5)=1,C5,""))</f>
        <v>COVID19 Data Visualization Using Python</v>
      </c>
    </row>
    <row r="6" spans="1:11" x14ac:dyDescent="0.25">
      <c r="A6">
        <v>4</v>
      </c>
      <c r="B6" t="s">
        <v>20</v>
      </c>
      <c r="C6" s="2" t="s">
        <v>21</v>
      </c>
      <c r="D6" t="s">
        <v>10</v>
      </c>
      <c r="E6">
        <v>1</v>
      </c>
      <c r="F6" t="s">
        <v>11</v>
      </c>
      <c r="G6" t="s">
        <v>12</v>
      </c>
      <c r="H6">
        <v>4.5999999999999996</v>
      </c>
      <c r="I6">
        <v>160</v>
      </c>
      <c r="J6" t="s">
        <v>67</v>
      </c>
      <c r="K6" t="str">
        <f>IF(C6="","",IF(COUNTIF($C$2:C$215,J6)=1,C6,""))</f>
        <v>Data Visualization with Python</v>
      </c>
    </row>
    <row r="7" spans="1:11" x14ac:dyDescent="0.25">
      <c r="A7">
        <v>5</v>
      </c>
      <c r="B7" t="s">
        <v>22</v>
      </c>
      <c r="C7" s="2" t="s">
        <v>23</v>
      </c>
      <c r="D7" t="s">
        <v>10</v>
      </c>
      <c r="E7">
        <v>1</v>
      </c>
      <c r="F7" t="s">
        <v>11</v>
      </c>
      <c r="G7" t="s">
        <v>12</v>
      </c>
      <c r="H7">
        <v>4.3</v>
      </c>
      <c r="I7">
        <v>68</v>
      </c>
      <c r="J7" t="s">
        <v>71</v>
      </c>
      <c r="K7" t="str">
        <f>IF(C7="","",IF(COUNTIF($C$2:C$215,J7)=1,C7,""))</f>
        <v>Exploratory Data Analysis</v>
      </c>
    </row>
    <row r="8" spans="1:11" x14ac:dyDescent="0.25">
      <c r="A8">
        <v>6</v>
      </c>
      <c r="B8" t="s">
        <v>24</v>
      </c>
      <c r="C8" s="2" t="s">
        <v>25</v>
      </c>
      <c r="D8" t="s">
        <v>15</v>
      </c>
      <c r="E8">
        <v>1</v>
      </c>
      <c r="F8" t="s">
        <v>11</v>
      </c>
      <c r="G8" t="s">
        <v>12</v>
      </c>
      <c r="H8">
        <v>4.8</v>
      </c>
      <c r="I8">
        <v>10</v>
      </c>
      <c r="J8" t="s">
        <v>75</v>
      </c>
      <c r="K8" t="str">
        <f>IF(C8="","",IF(COUNTIF($C$2:C$215,J8)=1,C8,""))</f>
        <v>Using probability distributions for real world problems in R</v>
      </c>
    </row>
    <row r="9" spans="1:11" x14ac:dyDescent="0.25">
      <c r="A9">
        <v>7</v>
      </c>
      <c r="B9" t="s">
        <v>26</v>
      </c>
      <c r="C9" s="2" t="s">
        <v>27</v>
      </c>
      <c r="D9" t="s">
        <v>10</v>
      </c>
      <c r="E9">
        <v>1</v>
      </c>
      <c r="F9" t="s">
        <v>11</v>
      </c>
      <c r="G9" t="s">
        <v>12</v>
      </c>
      <c r="H9">
        <v>4.7</v>
      </c>
      <c r="I9">
        <v>60</v>
      </c>
      <c r="J9" t="s">
        <v>83</v>
      </c>
      <c r="K9" t="str">
        <f>IF(C9="","",IF(COUNTIF($C$2:C$215,J9)=1,C9,""))</f>
        <v>Image Compression and Generation using Variational Autoencoders in Python</v>
      </c>
    </row>
    <row r="10" spans="1:11" x14ac:dyDescent="0.25">
      <c r="A10">
        <v>8</v>
      </c>
      <c r="B10" t="s">
        <v>28</v>
      </c>
      <c r="C10" s="2" t="s">
        <v>29</v>
      </c>
      <c r="D10" t="s">
        <v>10</v>
      </c>
      <c r="E10">
        <v>1</v>
      </c>
      <c r="F10" t="s">
        <v>11</v>
      </c>
      <c r="G10" t="s">
        <v>12</v>
      </c>
      <c r="H10">
        <v>4.8</v>
      </c>
      <c r="I10">
        <v>23</v>
      </c>
      <c r="J10" t="s">
        <v>97</v>
      </c>
      <c r="K10" t="str">
        <f>IF(C10="","",IF(COUNTIF($C$2:C$215,J10)=1,C10,""))</f>
        <v>Analyze Website Visitors with Google Analytics Segments</v>
      </c>
    </row>
    <row r="11" spans="1:11" x14ac:dyDescent="0.25">
      <c r="A11">
        <v>9</v>
      </c>
      <c r="B11" t="s">
        <v>30</v>
      </c>
      <c r="C11" s="2" t="s">
        <v>31</v>
      </c>
      <c r="D11" t="s">
        <v>10</v>
      </c>
      <c r="E11">
        <v>1</v>
      </c>
      <c r="F11" t="s">
        <v>11</v>
      </c>
      <c r="G11" t="s">
        <v>12</v>
      </c>
      <c r="H11">
        <v>4.5999999999999996</v>
      </c>
      <c r="I11">
        <v>78</v>
      </c>
      <c r="J11" t="s">
        <v>117</v>
      </c>
      <c r="K11" t="str">
        <f>IF(C11="","",IF(COUNTIF($C$2:C$215,J11)=1,C11,""))</f>
        <v>Build Multilayer Perceptron Models with Keras</v>
      </c>
    </row>
    <row r="12" spans="1:11" x14ac:dyDescent="0.25">
      <c r="A12">
        <v>10</v>
      </c>
      <c r="B12" t="s">
        <v>32</v>
      </c>
      <c r="C12" s="2" t="s">
        <v>33</v>
      </c>
      <c r="D12" t="s">
        <v>10</v>
      </c>
      <c r="E12">
        <v>1</v>
      </c>
      <c r="F12" t="s">
        <v>11</v>
      </c>
      <c r="G12" t="s">
        <v>12</v>
      </c>
      <c r="H12">
        <v>4.3</v>
      </c>
      <c r="I12">
        <v>29</v>
      </c>
      <c r="J12" t="s">
        <v>138</v>
      </c>
      <c r="K12" t="str">
        <f>IF(C12="","",IF(COUNTIF($C$2:C$215,J12)=1,C12,""))</f>
        <v>Predict Housing Prices in R on Boston Housing Data</v>
      </c>
    </row>
    <row r="13" spans="1:11" x14ac:dyDescent="0.25">
      <c r="A13">
        <v>11</v>
      </c>
      <c r="B13" t="s">
        <v>34</v>
      </c>
      <c r="C13" s="2" t="s">
        <v>35</v>
      </c>
      <c r="D13" t="s">
        <v>15</v>
      </c>
      <c r="E13">
        <v>1</v>
      </c>
      <c r="F13" t="s">
        <v>11</v>
      </c>
      <c r="G13" t="s">
        <v>12</v>
      </c>
      <c r="H13">
        <v>4.5</v>
      </c>
      <c r="I13">
        <v>28</v>
      </c>
      <c r="J13" t="s">
        <v>160</v>
      </c>
      <c r="K13" t="str">
        <f>IF(C13="","",IF(COUNTIF($C$2:C$215,J13)=1,C13,""))</f>
        <v>Reverse and complement nucleic acid sequences (DNA, RNA) using R</v>
      </c>
    </row>
    <row r="14" spans="1:11" x14ac:dyDescent="0.25">
      <c r="A14">
        <v>12</v>
      </c>
      <c r="B14" t="s">
        <v>36</v>
      </c>
      <c r="C14" s="2" t="s">
        <v>37</v>
      </c>
      <c r="D14" t="s">
        <v>10</v>
      </c>
      <c r="E14">
        <v>1</v>
      </c>
      <c r="F14" t="s">
        <v>11</v>
      </c>
      <c r="G14" t="s">
        <v>12</v>
      </c>
      <c r="H14">
        <v>4.0999999999999996</v>
      </c>
      <c r="I14">
        <v>45</v>
      </c>
      <c r="J14" t="s">
        <v>166</v>
      </c>
      <c r="K14" t="str">
        <f>IF(C14="","",IF(COUNTIF($C$2:C$215,J14)=1,C14,""))</f>
        <v>Machine Learning Feature Selection in Python</v>
      </c>
    </row>
    <row r="15" spans="1:11" x14ac:dyDescent="0.25">
      <c r="A15">
        <v>13</v>
      </c>
      <c r="B15" t="s">
        <v>38</v>
      </c>
      <c r="C15" s="2" t="s">
        <v>39</v>
      </c>
      <c r="D15" t="s">
        <v>15</v>
      </c>
      <c r="E15">
        <v>1</v>
      </c>
      <c r="F15" t="s">
        <v>11</v>
      </c>
      <c r="G15" t="s">
        <v>12</v>
      </c>
      <c r="H15">
        <v>4.7</v>
      </c>
      <c r="I15">
        <v>97</v>
      </c>
      <c r="J15" t="s">
        <v>168</v>
      </c>
      <c r="K15" t="str">
        <f>IF(C15="","",IF(COUNTIF($C$2:C$215,J15)=1,C15,""))</f>
        <v>AutoML for Computer Vision with Microsoft Custom Vision</v>
      </c>
    </row>
    <row r="16" spans="1:11" x14ac:dyDescent="0.25">
      <c r="A16">
        <v>14</v>
      </c>
      <c r="B16" t="s">
        <v>40</v>
      </c>
      <c r="C16" s="2" t="s">
        <v>41</v>
      </c>
      <c r="D16" t="s">
        <v>10</v>
      </c>
      <c r="E16">
        <v>1</v>
      </c>
      <c r="F16" t="s">
        <v>11</v>
      </c>
      <c r="G16" t="s">
        <v>12</v>
      </c>
      <c r="H16">
        <v>4.4000000000000004</v>
      </c>
      <c r="I16">
        <v>159</v>
      </c>
      <c r="J16" t="s">
        <v>196</v>
      </c>
      <c r="K16" t="str">
        <f>IF(C16="","",IF(COUNTIF($C$2:C$215,J16)=1,C16,""))</f>
        <v>Processing Data with Python</v>
      </c>
    </row>
    <row r="17" spans="1:11" x14ac:dyDescent="0.25">
      <c r="A17">
        <v>15</v>
      </c>
      <c r="B17" t="s">
        <v>42</v>
      </c>
      <c r="C17" s="2" t="s">
        <v>43</v>
      </c>
      <c r="D17" t="s">
        <v>10</v>
      </c>
      <c r="E17">
        <v>1</v>
      </c>
      <c r="F17" t="s">
        <v>11</v>
      </c>
      <c r="G17" t="s">
        <v>12</v>
      </c>
      <c r="H17">
        <v>4.4000000000000004</v>
      </c>
      <c r="I17">
        <v>221</v>
      </c>
      <c r="J17" t="s">
        <v>212</v>
      </c>
      <c r="K17" t="str">
        <f>IF(C17="","",IF(COUNTIF($C$2:C$215,J17)=1,C17,""))</f>
        <v>Predict Employee Turnover with scikit-learn</v>
      </c>
    </row>
    <row r="18" spans="1:11" x14ac:dyDescent="0.25">
      <c r="A18">
        <v>16</v>
      </c>
      <c r="B18" t="s">
        <v>44</v>
      </c>
      <c r="C18" s="2" t="s">
        <v>45</v>
      </c>
      <c r="D18" t="s">
        <v>10</v>
      </c>
      <c r="E18">
        <v>1</v>
      </c>
      <c r="F18" t="s">
        <v>11</v>
      </c>
      <c r="G18" t="s">
        <v>12</v>
      </c>
      <c r="H18">
        <v>4.4000000000000004</v>
      </c>
      <c r="I18">
        <v>16</v>
      </c>
      <c r="J18" t="s">
        <v>232</v>
      </c>
      <c r="K18" t="str">
        <f>IF(C18="","",IF(COUNTIF($C$2:C$215,J18)=1,C18,""))</f>
        <v>Introduction to Topic Modeling for Business</v>
      </c>
    </row>
    <row r="19" spans="1:11" x14ac:dyDescent="0.25">
      <c r="A19">
        <v>17</v>
      </c>
      <c r="B19" t="s">
        <v>46</v>
      </c>
      <c r="C19" s="2" t="s">
        <v>47</v>
      </c>
      <c r="D19" t="s">
        <v>15</v>
      </c>
      <c r="E19">
        <v>1</v>
      </c>
      <c r="F19" t="s">
        <v>11</v>
      </c>
      <c r="G19" t="s">
        <v>12</v>
      </c>
      <c r="H19">
        <v>4.4000000000000004</v>
      </c>
      <c r="I19">
        <v>45</v>
      </c>
      <c r="J19" t="s">
        <v>266</v>
      </c>
      <c r="K19" t="str">
        <f>IF(C19="","",IF(COUNTIF($C$2:C$215,J19)=1,C19,""))</f>
        <v>Mining Data to Extract and Visualize Insights in Python</v>
      </c>
    </row>
    <row r="20" spans="1:11" x14ac:dyDescent="0.25">
      <c r="A20">
        <v>18</v>
      </c>
      <c r="B20" t="s">
        <v>48</v>
      </c>
      <c r="C20" s="2" t="s">
        <v>49</v>
      </c>
      <c r="D20" t="s">
        <v>15</v>
      </c>
      <c r="E20">
        <v>1</v>
      </c>
      <c r="F20" t="s">
        <v>11</v>
      </c>
      <c r="G20" t="s">
        <v>12</v>
      </c>
      <c r="H20">
        <v>4.5</v>
      </c>
      <c r="I20">
        <v>41</v>
      </c>
      <c r="J20" t="s">
        <v>272</v>
      </c>
      <c r="K20" t="str">
        <f>IF(C20="","",IF(COUNTIF($C$2:C$215,J20)=1,C20,""))</f>
        <v>Using Descriptive Statistics to Analyze Data in R</v>
      </c>
    </row>
    <row r="21" spans="1:11" x14ac:dyDescent="0.25">
      <c r="A21">
        <v>19</v>
      </c>
      <c r="B21" t="s">
        <v>50</v>
      </c>
      <c r="C21" s="2" t="s">
        <v>51</v>
      </c>
      <c r="D21" t="s">
        <v>15</v>
      </c>
      <c r="E21">
        <v>1</v>
      </c>
      <c r="F21" t="s">
        <v>11</v>
      </c>
      <c r="G21" t="s">
        <v>12</v>
      </c>
      <c r="H21">
        <v>4.3</v>
      </c>
      <c r="I21">
        <v>112</v>
      </c>
      <c r="J21" t="s">
        <v>274</v>
      </c>
      <c r="K21" t="str">
        <f>IF(C21="","",IF(COUNTIF($C$2:C$215,J21)=1,C21,""))</f>
        <v>Analyze Stock Data using R and Quantmod Package</v>
      </c>
    </row>
    <row r="22" spans="1:11" x14ac:dyDescent="0.25">
      <c r="A22">
        <v>20</v>
      </c>
      <c r="B22" t="s">
        <v>52</v>
      </c>
      <c r="C22" s="2" t="s">
        <v>53</v>
      </c>
      <c r="D22" t="s">
        <v>15</v>
      </c>
      <c r="E22">
        <v>1</v>
      </c>
      <c r="F22" t="s">
        <v>11</v>
      </c>
      <c r="G22" t="s">
        <v>12</v>
      </c>
      <c r="H22">
        <v>4.7</v>
      </c>
      <c r="I22">
        <v>32</v>
      </c>
      <c r="J22" t="s">
        <v>285</v>
      </c>
      <c r="K22" t="str">
        <f>IF(C22="","",IF(COUNTIF($C$2:C$215,J22)=1,C22,""))</f>
        <v>Facial Expression Classification Using Residual Neural Nets</v>
      </c>
    </row>
    <row r="23" spans="1:11" x14ac:dyDescent="0.25">
      <c r="A23">
        <v>21</v>
      </c>
      <c r="B23" t="s">
        <v>54</v>
      </c>
      <c r="C23" s="2" t="s">
        <v>55</v>
      </c>
      <c r="D23" t="s">
        <v>10</v>
      </c>
      <c r="E23">
        <v>1</v>
      </c>
      <c r="F23" t="s">
        <v>11</v>
      </c>
      <c r="G23" t="s">
        <v>12</v>
      </c>
      <c r="H23">
        <v>4.5</v>
      </c>
      <c r="I23">
        <v>368</v>
      </c>
      <c r="J23" t="s">
        <v>287</v>
      </c>
      <c r="K23" t="str">
        <f>IF(C23="","",IF(COUNTIF($C$2:C$215,J23)=1,C23,""))</f>
        <v>Linear Regression with Python</v>
      </c>
    </row>
    <row r="24" spans="1:11" x14ac:dyDescent="0.25">
      <c r="A24">
        <v>22</v>
      </c>
      <c r="B24" t="s">
        <v>56</v>
      </c>
      <c r="C24" s="2" t="s">
        <v>57</v>
      </c>
      <c r="D24" t="s">
        <v>10</v>
      </c>
      <c r="E24">
        <v>1</v>
      </c>
      <c r="F24" t="s">
        <v>11</v>
      </c>
      <c r="G24" t="s">
        <v>12</v>
      </c>
      <c r="H24">
        <v>4.5999999999999996</v>
      </c>
      <c r="I24">
        <v>9</v>
      </c>
      <c r="J24" t="s">
        <v>293</v>
      </c>
      <c r="K24" t="str">
        <f>IF(C24="","",IF(COUNTIF($C$2:C$215,J24)=1,C24,""))</f>
        <v>Building Similarity Based Recommendation System</v>
      </c>
    </row>
    <row r="25" spans="1:11" x14ac:dyDescent="0.25">
      <c r="A25">
        <v>23</v>
      </c>
      <c r="B25" t="s">
        <v>58</v>
      </c>
      <c r="C25" s="2" t="s">
        <v>59</v>
      </c>
      <c r="D25" t="s">
        <v>15</v>
      </c>
      <c r="E25">
        <v>1</v>
      </c>
      <c r="F25" t="s">
        <v>11</v>
      </c>
      <c r="G25" t="s">
        <v>12</v>
      </c>
      <c r="H25">
        <v>4.9000000000000004</v>
      </c>
      <c r="I25">
        <v>11</v>
      </c>
      <c r="J25" t="s">
        <v>295</v>
      </c>
      <c r="K25" t="str">
        <f>IF(C25="","",IF(COUNTIF($C$2:C$215,J25)=1,C25,""))</f>
        <v>Predict Sales and Forecast Trends in Google Sheets</v>
      </c>
    </row>
    <row r="26" spans="1:11" x14ac:dyDescent="0.25">
      <c r="A26">
        <v>24</v>
      </c>
      <c r="B26" t="s">
        <v>60</v>
      </c>
      <c r="C26" s="2" t="s">
        <v>61</v>
      </c>
      <c r="D26" t="s">
        <v>10</v>
      </c>
      <c r="E26">
        <v>1</v>
      </c>
      <c r="F26" t="s">
        <v>11</v>
      </c>
      <c r="G26" t="s">
        <v>12</v>
      </c>
      <c r="H26">
        <v>4.5999999999999996</v>
      </c>
      <c r="I26">
        <v>302</v>
      </c>
      <c r="J26" t="s">
        <v>299</v>
      </c>
      <c r="K26" t="str">
        <f>IF(C26="","",IF(COUNTIF($C$2:C$215,J26)=1,C26,""))</f>
        <v>Traffic Sign Classification Using Deep Learning in Python/Keras</v>
      </c>
    </row>
    <row r="27" spans="1:11" x14ac:dyDescent="0.25">
      <c r="A27">
        <v>25</v>
      </c>
      <c r="B27" t="s">
        <v>62</v>
      </c>
      <c r="C27" s="2" t="s">
        <v>63</v>
      </c>
      <c r="D27" t="s">
        <v>15</v>
      </c>
      <c r="E27">
        <v>1</v>
      </c>
      <c r="F27" t="s">
        <v>11</v>
      </c>
      <c r="G27" t="s">
        <v>12</v>
      </c>
      <c r="H27">
        <v>4.5999999999999996</v>
      </c>
      <c r="I27">
        <v>17</v>
      </c>
      <c r="J27" t="s">
        <v>301</v>
      </c>
      <c r="K27" t="str">
        <f>IF(C27="","",IF(COUNTIF($C$2:C$215,J27)=1,C27,""))</f>
        <v>Database Design with SQL Server Management Studio (SSMS)</v>
      </c>
    </row>
    <row r="28" spans="1:11" x14ac:dyDescent="0.25">
      <c r="A28">
        <v>26</v>
      </c>
      <c r="B28" t="s">
        <v>64</v>
      </c>
      <c r="C28" s="2" t="s">
        <v>65</v>
      </c>
      <c r="D28" t="s">
        <v>15</v>
      </c>
      <c r="E28">
        <v>1</v>
      </c>
      <c r="F28" t="s">
        <v>11</v>
      </c>
      <c r="G28" t="s">
        <v>12</v>
      </c>
      <c r="H28">
        <v>4.7</v>
      </c>
      <c r="I28">
        <v>66</v>
      </c>
      <c r="J28" t="s">
        <v>305</v>
      </c>
      <c r="K28" t="str">
        <f>IF(C28="","",IF(COUNTIF($C$2:C$215,J28)=1,C28,""))</f>
        <v>Performing Data Definition and Manipulation in SQL</v>
      </c>
    </row>
    <row r="29" spans="1:11" x14ac:dyDescent="0.25">
      <c r="A29">
        <v>27</v>
      </c>
      <c r="B29" t="s">
        <v>66</v>
      </c>
      <c r="C29" s="2" t="s">
        <v>67</v>
      </c>
      <c r="D29" t="s">
        <v>10</v>
      </c>
      <c r="E29">
        <v>1</v>
      </c>
      <c r="F29" t="s">
        <v>11</v>
      </c>
      <c r="G29" t="s">
        <v>12</v>
      </c>
      <c r="H29">
        <v>4.5999999999999996</v>
      </c>
      <c r="I29">
        <v>83</v>
      </c>
      <c r="J29" t="s">
        <v>307</v>
      </c>
      <c r="K29" t="str">
        <f>IF(C29="","",IF(COUNTIF($C$2:C$215,J29)=1,C29,""))</f>
        <v>Save, Load and Export Models with Keras</v>
      </c>
    </row>
    <row r="30" spans="1:11" x14ac:dyDescent="0.25">
      <c r="A30">
        <v>28</v>
      </c>
      <c r="B30" t="s">
        <v>68</v>
      </c>
      <c r="C30" s="2" t="s">
        <v>69</v>
      </c>
      <c r="D30" t="s">
        <v>10</v>
      </c>
      <c r="E30">
        <v>1</v>
      </c>
      <c r="F30" t="s">
        <v>11</v>
      </c>
      <c r="G30" t="s">
        <v>12</v>
      </c>
      <c r="H30">
        <v>4.5</v>
      </c>
      <c r="I30">
        <v>24</v>
      </c>
      <c r="J30" t="s">
        <v>317</v>
      </c>
      <c r="K30" t="str">
        <f>IF(C30="","",IF(COUNTIF($C$2:C$215,J30)=1,C30,""))</f>
        <v>Measuring Stock Liquidity</v>
      </c>
    </row>
    <row r="31" spans="1:11" x14ac:dyDescent="0.25">
      <c r="A31">
        <v>29</v>
      </c>
      <c r="B31" t="s">
        <v>70</v>
      </c>
      <c r="C31" s="2" t="s">
        <v>71</v>
      </c>
      <c r="D31" t="s">
        <v>10</v>
      </c>
      <c r="E31">
        <v>1</v>
      </c>
      <c r="F31" t="s">
        <v>11</v>
      </c>
      <c r="G31" t="s">
        <v>12</v>
      </c>
      <c r="H31">
        <v>4.7</v>
      </c>
      <c r="I31">
        <v>93</v>
      </c>
      <c r="J31" t="s">
        <v>337</v>
      </c>
      <c r="K31" t="str">
        <f>IF(C31="","",IF(COUNTIF($C$2:C$215,J31)=1,C31,""))</f>
        <v>Image Noise Reduction with Auto-encoders using TensorFlow</v>
      </c>
    </row>
    <row r="32" spans="1:11" x14ac:dyDescent="0.25">
      <c r="A32">
        <v>30</v>
      </c>
      <c r="B32" t="s">
        <v>72</v>
      </c>
      <c r="C32" s="2" t="s">
        <v>73</v>
      </c>
      <c r="D32" t="s">
        <v>15</v>
      </c>
      <c r="E32">
        <v>1</v>
      </c>
      <c r="F32" t="s">
        <v>11</v>
      </c>
      <c r="G32" t="s">
        <v>12</v>
      </c>
      <c r="H32">
        <v>3.9</v>
      </c>
      <c r="I32">
        <v>63</v>
      </c>
      <c r="J32" t="s">
        <v>343</v>
      </c>
      <c r="K32" t="str">
        <f>IF(C32="","",IF(COUNTIF($C$2:C$215,J32)=1,C32,""))</f>
        <v>Statistical Data Visualization in Python</v>
      </c>
    </row>
    <row r="33" spans="1:11" x14ac:dyDescent="0.25">
      <c r="A33">
        <v>31</v>
      </c>
      <c r="B33" t="s">
        <v>74</v>
      </c>
      <c r="C33" s="2" t="s">
        <v>75</v>
      </c>
      <c r="D33" t="s">
        <v>10</v>
      </c>
      <c r="E33">
        <v>1</v>
      </c>
      <c r="F33" t="s">
        <v>11</v>
      </c>
      <c r="G33" t="s">
        <v>12</v>
      </c>
      <c r="H33">
        <v>4.5</v>
      </c>
      <c r="I33">
        <v>129</v>
      </c>
      <c r="J33" t="s">
        <v>353</v>
      </c>
      <c r="K33" t="str">
        <f>IF(C33="","",IF(COUNTIF($C$2:C$215,J33)=1,C33,""))</f>
        <v>Classification with Transfer Learning in Keras</v>
      </c>
    </row>
    <row r="34" spans="1:11" x14ac:dyDescent="0.25">
      <c r="A34">
        <v>32</v>
      </c>
      <c r="B34" t="s">
        <v>76</v>
      </c>
      <c r="C34" s="2" t="s">
        <v>77</v>
      </c>
      <c r="D34" t="s">
        <v>10</v>
      </c>
      <c r="E34">
        <v>1</v>
      </c>
      <c r="F34" t="s">
        <v>11</v>
      </c>
      <c r="G34" t="s">
        <v>12</v>
      </c>
      <c r="H34">
        <v>4.3</v>
      </c>
      <c r="I34">
        <v>14</v>
      </c>
      <c r="J34" t="s">
        <v>359</v>
      </c>
      <c r="K34" t="str">
        <f>IF(C34="","",IF(COUNTIF($C$2:C$215,J34)=1,C34,""))</f>
        <v>Building Stock Returns Heatmap with Tableau</v>
      </c>
    </row>
    <row r="35" spans="1:11" x14ac:dyDescent="0.25">
      <c r="A35">
        <v>33</v>
      </c>
      <c r="B35" t="s">
        <v>78</v>
      </c>
      <c r="C35" s="2" t="s">
        <v>79</v>
      </c>
      <c r="D35" t="s">
        <v>15</v>
      </c>
      <c r="E35">
        <v>1</v>
      </c>
      <c r="F35" t="s">
        <v>11</v>
      </c>
      <c r="G35" t="s">
        <v>12</v>
      </c>
      <c r="H35">
        <v>4.5</v>
      </c>
      <c r="I35">
        <v>6</v>
      </c>
      <c r="J35" t="s">
        <v>379</v>
      </c>
      <c r="K35" t="str">
        <f>IF(C35="","",IF(COUNTIF($C$2:C$215,J35)=1,C35,""))</f>
        <v>Introduction to Business Analysis Using Spreadsheets: Basics</v>
      </c>
    </row>
    <row r="36" spans="1:11" x14ac:dyDescent="0.25">
      <c r="A36">
        <v>34</v>
      </c>
      <c r="B36" t="s">
        <v>80</v>
      </c>
      <c r="C36" s="2" t="s">
        <v>81</v>
      </c>
      <c r="D36" t="s">
        <v>10</v>
      </c>
      <c r="E36">
        <v>1</v>
      </c>
      <c r="F36" t="s">
        <v>11</v>
      </c>
      <c r="G36" t="s">
        <v>12</v>
      </c>
      <c r="H36">
        <v>4.5</v>
      </c>
      <c r="I36">
        <v>54</v>
      </c>
      <c r="J36" t="s">
        <v>383</v>
      </c>
      <c r="K36" t="str">
        <f>IF(C36="","",IF(COUNTIF($C$2:C$215,J36)=1,C36,""))</f>
        <v>Querying Databases Using SQL SELECT statement</v>
      </c>
    </row>
    <row r="37" spans="1:11" x14ac:dyDescent="0.25">
      <c r="A37">
        <v>35</v>
      </c>
      <c r="B37" t="s">
        <v>82</v>
      </c>
      <c r="C37" s="2" t="s">
        <v>83</v>
      </c>
      <c r="D37" t="s">
        <v>15</v>
      </c>
      <c r="E37">
        <v>1</v>
      </c>
      <c r="F37" t="s">
        <v>11</v>
      </c>
      <c r="G37" t="s">
        <v>12</v>
      </c>
      <c r="H37">
        <v>4.5</v>
      </c>
      <c r="I37">
        <v>205</v>
      </c>
      <c r="J37" t="s">
        <v>401</v>
      </c>
      <c r="K37" t="str">
        <f>IF(C37="","",IF(COUNTIF($C$2:C$215,J37)=1,C37,""))</f>
        <v>Analyze Box Office Data with Plotly and Python</v>
      </c>
    </row>
    <row r="38" spans="1:11" x14ac:dyDescent="0.25">
      <c r="A38">
        <v>36</v>
      </c>
      <c r="B38" t="s">
        <v>84</v>
      </c>
      <c r="C38" s="2" t="s">
        <v>85</v>
      </c>
      <c r="D38" t="s">
        <v>15</v>
      </c>
      <c r="E38">
        <v>1</v>
      </c>
      <c r="F38" t="s">
        <v>11</v>
      </c>
      <c r="G38" t="s">
        <v>12</v>
      </c>
      <c r="H38">
        <v>4.3</v>
      </c>
      <c r="I38">
        <v>281</v>
      </c>
      <c r="J38" t="s">
        <v>212</v>
      </c>
      <c r="K38" t="str">
        <f>IF(C38="","",IF(COUNTIF($C$2:C$215,J38)=1,C38,""))</f>
        <v>Support Vector Machines with scikit-learn</v>
      </c>
    </row>
    <row r="39" spans="1:11" x14ac:dyDescent="0.25">
      <c r="A39">
        <v>37</v>
      </c>
      <c r="B39" t="s">
        <v>86</v>
      </c>
      <c r="C39" s="2" t="s">
        <v>87</v>
      </c>
      <c r="D39" t="s">
        <v>10</v>
      </c>
      <c r="E39">
        <v>1</v>
      </c>
      <c r="F39" t="s">
        <v>11</v>
      </c>
      <c r="G39" t="s">
        <v>12</v>
      </c>
      <c r="H39">
        <v>4.2</v>
      </c>
      <c r="I39">
        <v>92</v>
      </c>
      <c r="J39" t="s">
        <v>417</v>
      </c>
      <c r="K39" t="str">
        <f>IF(C39="","",IF(COUNTIF($C$2:C$215,J39)=1,C39,""))</f>
        <v>Basic Artificial Neural Networks in Python</v>
      </c>
    </row>
    <row r="40" spans="1:11" x14ac:dyDescent="0.25">
      <c r="A40">
        <v>38</v>
      </c>
      <c r="B40" t="s">
        <v>88</v>
      </c>
      <c r="C40" s="2" t="s">
        <v>89</v>
      </c>
      <c r="D40" t="s">
        <v>15</v>
      </c>
      <c r="E40">
        <v>1</v>
      </c>
      <c r="F40" t="s">
        <v>11</v>
      </c>
      <c r="G40" t="s">
        <v>12</v>
      </c>
      <c r="H40">
        <v>4.5999999999999996</v>
      </c>
      <c r="I40">
        <v>66</v>
      </c>
      <c r="J40" t="s">
        <v>421</v>
      </c>
      <c r="K40" t="str">
        <f>IF(C40="","",IF(COUNTIF($C$2:C$215,J40)=1,C40,""))</f>
        <v>Build Data Analysis and Transformation Skills in R using DPLYR</v>
      </c>
    </row>
    <row r="41" spans="1:11" x14ac:dyDescent="0.25">
      <c r="A41">
        <v>39</v>
      </c>
      <c r="B41" t="s">
        <v>90</v>
      </c>
      <c r="C41" s="2" t="s">
        <v>91</v>
      </c>
      <c r="D41" t="s">
        <v>10</v>
      </c>
      <c r="E41">
        <v>1</v>
      </c>
      <c r="F41" t="s">
        <v>11</v>
      </c>
      <c r="G41" t="s">
        <v>12</v>
      </c>
      <c r="H41">
        <v>4.5</v>
      </c>
      <c r="I41">
        <v>232</v>
      </c>
      <c r="J41" t="s">
        <v>423</v>
      </c>
      <c r="K41" t="str">
        <f>IF(C41="","",IF(COUNTIF($C$2:C$215,J41)=1,C41,""))</f>
        <v xml:space="preserve">Image Denoising Using AutoEncoders in Keras and Python </v>
      </c>
    </row>
    <row r="42" spans="1:11" x14ac:dyDescent="0.25">
      <c r="A42">
        <v>40</v>
      </c>
      <c r="B42" t="s">
        <v>92</v>
      </c>
      <c r="C42" s="2" t="s">
        <v>93</v>
      </c>
      <c r="D42" t="s">
        <v>10</v>
      </c>
      <c r="E42">
        <v>1</v>
      </c>
      <c r="F42" t="s">
        <v>11</v>
      </c>
      <c r="G42" t="s">
        <v>12</v>
      </c>
      <c r="H42">
        <v>4.4000000000000004</v>
      </c>
      <c r="I42">
        <v>76</v>
      </c>
      <c r="J42" t="s">
        <v>385</v>
      </c>
      <c r="K42" t="str">
        <f>IF(C42="","",IF(COUNTIF($C$2:C$215,J42)=1,C42,""))</f>
        <v>Hierarchical Clustering: Customer Segmentation</v>
      </c>
    </row>
    <row r="43" spans="1:11" x14ac:dyDescent="0.25">
      <c r="A43">
        <v>41</v>
      </c>
      <c r="B43" t="s">
        <v>94</v>
      </c>
      <c r="C43" s="2" t="s">
        <v>95</v>
      </c>
      <c r="D43" t="s">
        <v>10</v>
      </c>
      <c r="E43">
        <v>1</v>
      </c>
      <c r="F43" t="s">
        <v>11</v>
      </c>
      <c r="G43" t="s">
        <v>12</v>
      </c>
      <c r="H43">
        <v>4.7</v>
      </c>
      <c r="I43">
        <v>36</v>
      </c>
      <c r="J43" t="s">
        <v>347</v>
      </c>
      <c r="K43" t="str">
        <f>IF(C43="","",IF(COUNTIF($C$2:C$215,J43)=1,C43,""))</f>
        <v>Explainable Machine Learning with LIME and H2O in R</v>
      </c>
    </row>
    <row r="44" spans="1:11" x14ac:dyDescent="0.25">
      <c r="A44">
        <v>42</v>
      </c>
      <c r="B44" t="s">
        <v>96</v>
      </c>
      <c r="C44" s="2" t="s">
        <v>97</v>
      </c>
      <c r="D44" t="s">
        <v>10</v>
      </c>
      <c r="E44">
        <v>1</v>
      </c>
      <c r="F44" t="s">
        <v>11</v>
      </c>
      <c r="G44" t="s">
        <v>12</v>
      </c>
      <c r="H44">
        <v>4.8</v>
      </c>
      <c r="I44">
        <v>64</v>
      </c>
      <c r="J44" t="s">
        <v>115</v>
      </c>
      <c r="K44" t="str">
        <f>IF(C44="","",IF(COUNTIF($C$2:C$215,J44)=1,C44,""))</f>
        <v>Avoid Overfitting Using Regularization in TensorFlow</v>
      </c>
    </row>
    <row r="45" spans="1:11" x14ac:dyDescent="0.25">
      <c r="A45">
        <v>43</v>
      </c>
      <c r="B45" t="s">
        <v>98</v>
      </c>
      <c r="C45" s="2" t="s">
        <v>99</v>
      </c>
      <c r="D45" t="s">
        <v>10</v>
      </c>
      <c r="E45">
        <v>1</v>
      </c>
      <c r="F45" t="s">
        <v>11</v>
      </c>
      <c r="G45" t="s">
        <v>12</v>
      </c>
      <c r="H45">
        <v>4.8</v>
      </c>
      <c r="I45">
        <v>26</v>
      </c>
      <c r="J45" t="s">
        <v>234</v>
      </c>
      <c r="K45" t="str">
        <f>IF(C45="","",IF(COUNTIF($C$2:C$215,J45)=1,C45,""))</f>
        <v>Handling Imbalanced Data Classification Problems</v>
      </c>
    </row>
    <row r="46" spans="1:11" x14ac:dyDescent="0.25">
      <c r="A46">
        <v>44</v>
      </c>
      <c r="B46" t="s">
        <v>100</v>
      </c>
      <c r="C46" s="2" t="s">
        <v>101</v>
      </c>
      <c r="D46" t="s">
        <v>10</v>
      </c>
      <c r="E46">
        <v>3</v>
      </c>
      <c r="F46" t="s">
        <v>11</v>
      </c>
      <c r="G46" t="s">
        <v>12</v>
      </c>
      <c r="H46">
        <v>5</v>
      </c>
      <c r="I46">
        <v>2</v>
      </c>
      <c r="J46" t="s">
        <v>129</v>
      </c>
      <c r="K46" t="str">
        <f>IF(C46="","",IF(COUNTIF($C$2:C$215,J46)=1,C46,""))</f>
        <v>Fine Tune BERT for Text Classification with TensorFlow</v>
      </c>
    </row>
    <row r="47" spans="1:11" x14ac:dyDescent="0.25">
      <c r="A47">
        <v>45</v>
      </c>
      <c r="B47" t="s">
        <v>102</v>
      </c>
      <c r="C47" s="2" t="s">
        <v>103</v>
      </c>
      <c r="D47" t="s">
        <v>10</v>
      </c>
      <c r="E47">
        <v>1</v>
      </c>
      <c r="F47" t="s">
        <v>11</v>
      </c>
      <c r="G47" t="s">
        <v>12</v>
      </c>
      <c r="H47">
        <v>4.7</v>
      </c>
      <c r="I47">
        <v>32</v>
      </c>
      <c r="J47" t="s">
        <v>395</v>
      </c>
      <c r="K47" t="str">
        <f>IF(C47="","",IF(COUNTIF($C$2:C$215,J47)=1,C47,""))</f>
        <v xml:space="preserve">Explainable AI: Scene Classification and GradCam Visualization </v>
      </c>
    </row>
    <row r="48" spans="1:11" x14ac:dyDescent="0.25">
      <c r="A48">
        <v>46</v>
      </c>
      <c r="B48" t="s">
        <v>104</v>
      </c>
      <c r="C48" s="2" t="s">
        <v>105</v>
      </c>
      <c r="D48" t="s">
        <v>10</v>
      </c>
      <c r="E48">
        <v>1</v>
      </c>
      <c r="F48" t="s">
        <v>11</v>
      </c>
      <c r="G48" t="s">
        <v>12</v>
      </c>
      <c r="H48">
        <v>4.8</v>
      </c>
      <c r="I48">
        <v>14</v>
      </c>
      <c r="J48" t="s">
        <v>31</v>
      </c>
      <c r="K48" t="str">
        <f>IF(C48="","",IF(COUNTIF($C$2:C$215,J48)=1,C48,""))</f>
        <v>Generating New Recipes using GPT-2</v>
      </c>
    </row>
    <row r="49" spans="1:11" x14ac:dyDescent="0.25">
      <c r="A49">
        <v>47</v>
      </c>
      <c r="B49" t="s">
        <v>106</v>
      </c>
      <c r="C49" s="2" t="s">
        <v>107</v>
      </c>
      <c r="D49" t="s">
        <v>10</v>
      </c>
      <c r="E49">
        <v>2</v>
      </c>
      <c r="F49" t="s">
        <v>11</v>
      </c>
      <c r="G49" t="s">
        <v>12</v>
      </c>
      <c r="H49">
        <v>4.3</v>
      </c>
      <c r="I49">
        <v>6</v>
      </c>
      <c r="J49" t="s">
        <v>446</v>
      </c>
      <c r="K49" t="str">
        <f>IF(C49="","",IF(COUNTIF($C$2:C$215,J49)=1,C49,""))</f>
        <v/>
      </c>
    </row>
    <row r="50" spans="1:11" x14ac:dyDescent="0.25">
      <c r="A50">
        <v>48</v>
      </c>
      <c r="B50" t="s">
        <v>108</v>
      </c>
      <c r="C50" s="2" t="s">
        <v>109</v>
      </c>
      <c r="D50" t="s">
        <v>15</v>
      </c>
      <c r="E50">
        <v>1</v>
      </c>
      <c r="F50" t="s">
        <v>11</v>
      </c>
      <c r="G50" t="s">
        <v>12</v>
      </c>
      <c r="H50">
        <v>4.4000000000000004</v>
      </c>
      <c r="I50">
        <v>140</v>
      </c>
      <c r="J50" t="s">
        <v>47</v>
      </c>
      <c r="K50" t="str">
        <f>IF(C50="","",IF(COUNTIF($C$2:C$215,J50)=1,C50,""))</f>
        <v>Building Basic Relational Databases inÂ SQL Server Management Studio</v>
      </c>
    </row>
    <row r="51" spans="1:11" x14ac:dyDescent="0.25">
      <c r="A51">
        <v>49</v>
      </c>
      <c r="B51" t="s">
        <v>110</v>
      </c>
      <c r="C51" s="2" t="s">
        <v>111</v>
      </c>
      <c r="D51" t="s">
        <v>10</v>
      </c>
      <c r="E51">
        <v>1</v>
      </c>
      <c r="F51" t="s">
        <v>11</v>
      </c>
      <c r="G51" t="s">
        <v>12</v>
      </c>
      <c r="H51">
        <v>4.4000000000000004</v>
      </c>
      <c r="I51">
        <v>39</v>
      </c>
      <c r="J51" t="s">
        <v>140</v>
      </c>
      <c r="K51" t="str">
        <f>IF(C51="","",IF(COUNTIF($C$2:C$215,J51)=1,C51,""))</f>
        <v>Medical Diagnosis using Support Vector Machines</v>
      </c>
    </row>
    <row r="52" spans="1:11" x14ac:dyDescent="0.25">
      <c r="A52">
        <v>50</v>
      </c>
      <c r="B52" t="s">
        <v>112</v>
      </c>
      <c r="C52" s="2" t="s">
        <v>113</v>
      </c>
      <c r="D52" t="s">
        <v>10</v>
      </c>
      <c r="E52">
        <v>1</v>
      </c>
      <c r="F52" t="s">
        <v>11</v>
      </c>
      <c r="G52" t="s">
        <v>12</v>
      </c>
      <c r="H52">
        <v>4.9000000000000004</v>
      </c>
      <c r="I52">
        <v>10</v>
      </c>
      <c r="J52" t="s">
        <v>37</v>
      </c>
      <c r="K52" t="str">
        <f>IF(C52="","",IF(COUNTIF($C$2:C$215,J52)=1,C52,""))</f>
        <v>Hyperparameter Tuning with Neural Network Intelligence</v>
      </c>
    </row>
    <row r="53" spans="1:11" x14ac:dyDescent="0.25">
      <c r="A53">
        <v>51</v>
      </c>
      <c r="B53" t="s">
        <v>114</v>
      </c>
      <c r="C53" s="2" t="s">
        <v>115</v>
      </c>
      <c r="D53" t="s">
        <v>10</v>
      </c>
      <c r="E53">
        <v>1</v>
      </c>
      <c r="F53" t="s">
        <v>11</v>
      </c>
      <c r="G53" t="s">
        <v>12</v>
      </c>
      <c r="H53">
        <v>4.5</v>
      </c>
      <c r="I53">
        <v>118</v>
      </c>
      <c r="J53" t="s">
        <v>278</v>
      </c>
      <c r="K53" t="str">
        <f>IF(C53="","",IF(COUNTIF($C$2:C$215,J53)=1,C53,""))</f>
        <v>Logistic Regression with Python and Numpy</v>
      </c>
    </row>
    <row r="54" spans="1:11" x14ac:dyDescent="0.25">
      <c r="A54">
        <v>52</v>
      </c>
      <c r="B54" t="s">
        <v>116</v>
      </c>
      <c r="C54" s="2" t="s">
        <v>117</v>
      </c>
      <c r="D54" t="s">
        <v>10</v>
      </c>
      <c r="E54">
        <v>1</v>
      </c>
      <c r="F54" t="s">
        <v>11</v>
      </c>
      <c r="G54" t="s">
        <v>12</v>
      </c>
      <c r="H54">
        <v>4.5</v>
      </c>
      <c r="I54">
        <v>144</v>
      </c>
      <c r="J54" t="s">
        <v>403</v>
      </c>
      <c r="K54" t="str">
        <f>IF(C54="","",IF(COUNTIF($C$2:C$215,J54)=1,C54,""))</f>
        <v>Analyze Box Office Data with Seaborn and Python</v>
      </c>
    </row>
    <row r="55" spans="1:11" x14ac:dyDescent="0.25">
      <c r="A55">
        <v>53</v>
      </c>
      <c r="B55" t="s">
        <v>118</v>
      </c>
      <c r="C55" s="2" t="s">
        <v>119</v>
      </c>
      <c r="D55" t="s">
        <v>15</v>
      </c>
      <c r="E55">
        <v>2</v>
      </c>
      <c r="F55" t="s">
        <v>11</v>
      </c>
      <c r="G55" t="s">
        <v>12</v>
      </c>
      <c r="H55">
        <v>4.7</v>
      </c>
      <c r="I55">
        <v>6</v>
      </c>
      <c r="K55" t="str">
        <f>IF(C55="","",IF(COUNTIF($C$2:C$215,J55)=1,C55,""))</f>
        <v/>
      </c>
    </row>
    <row r="56" spans="1:11" x14ac:dyDescent="0.25">
      <c r="A56">
        <v>54</v>
      </c>
      <c r="B56" t="s">
        <v>120</v>
      </c>
      <c r="C56" s="2" t="s">
        <v>121</v>
      </c>
      <c r="D56" t="s">
        <v>10</v>
      </c>
      <c r="E56">
        <v>3</v>
      </c>
      <c r="F56" t="s">
        <v>11</v>
      </c>
      <c r="G56" t="s">
        <v>12</v>
      </c>
      <c r="H56">
        <v>5</v>
      </c>
      <c r="I56">
        <v>1</v>
      </c>
      <c r="K56" t="str">
        <f>IF(C56="","",IF(COUNTIF($C$2:C$215,J56)=1,C56,""))</f>
        <v/>
      </c>
    </row>
    <row r="57" spans="1:11" x14ac:dyDescent="0.25">
      <c r="A57">
        <v>55</v>
      </c>
      <c r="B57" t="s">
        <v>122</v>
      </c>
      <c r="C57" s="2" t="s">
        <v>123</v>
      </c>
      <c r="D57" t="s">
        <v>10</v>
      </c>
      <c r="E57">
        <v>1</v>
      </c>
      <c r="F57" t="s">
        <v>11</v>
      </c>
      <c r="G57" t="s">
        <v>12</v>
      </c>
      <c r="H57">
        <v>4.5999999999999996</v>
      </c>
      <c r="I57">
        <v>125</v>
      </c>
      <c r="K57" t="str">
        <f>IF(C57="","",IF(COUNTIF($C$2:C$215,J57)=1,C57,""))</f>
        <v/>
      </c>
    </row>
    <row r="58" spans="1:11" x14ac:dyDescent="0.25">
      <c r="A58">
        <v>56</v>
      </c>
      <c r="B58" t="s">
        <v>124</v>
      </c>
      <c r="C58" s="2" t="s">
        <v>125</v>
      </c>
      <c r="D58" t="s">
        <v>15</v>
      </c>
      <c r="E58">
        <v>1</v>
      </c>
      <c r="F58" t="s">
        <v>11</v>
      </c>
      <c r="G58" t="s">
        <v>12</v>
      </c>
      <c r="H58">
        <v>4.4000000000000004</v>
      </c>
      <c r="I58">
        <v>24</v>
      </c>
      <c r="K58" t="str">
        <f>IF(C58="","",IF(COUNTIF($C$2:C$215,J58)=1,C58,""))</f>
        <v/>
      </c>
    </row>
    <row r="59" spans="1:11" x14ac:dyDescent="0.25">
      <c r="A59">
        <v>57</v>
      </c>
      <c r="B59" t="s">
        <v>126</v>
      </c>
      <c r="C59" s="2" t="s">
        <v>127</v>
      </c>
      <c r="D59" t="s">
        <v>10</v>
      </c>
      <c r="E59">
        <v>1</v>
      </c>
      <c r="F59" t="s">
        <v>11</v>
      </c>
      <c r="G59" t="s">
        <v>12</v>
      </c>
      <c r="H59">
        <v>4.5999999999999996</v>
      </c>
      <c r="I59">
        <v>247</v>
      </c>
      <c r="K59" t="str">
        <f>IF(C59="","",IF(COUNTIF($C$2:C$215,J59)=1,C59,""))</f>
        <v/>
      </c>
    </row>
    <row r="60" spans="1:11" x14ac:dyDescent="0.25">
      <c r="A60">
        <v>58</v>
      </c>
      <c r="B60" t="s">
        <v>128</v>
      </c>
      <c r="C60" s="2" t="s">
        <v>129</v>
      </c>
      <c r="D60" t="s">
        <v>10</v>
      </c>
      <c r="E60">
        <v>1</v>
      </c>
      <c r="F60" t="s">
        <v>11</v>
      </c>
      <c r="G60" t="s">
        <v>12</v>
      </c>
      <c r="H60">
        <v>4.5999999999999996</v>
      </c>
      <c r="I60">
        <v>414</v>
      </c>
      <c r="K60" t="str">
        <f>IF(C60="","",IF(COUNTIF($C$2:C$215,J60)=1,C60,""))</f>
        <v/>
      </c>
    </row>
    <row r="61" spans="1:11" x14ac:dyDescent="0.25">
      <c r="A61">
        <v>59</v>
      </c>
      <c r="B61" t="s">
        <v>130</v>
      </c>
      <c r="C61" s="2" t="s">
        <v>131</v>
      </c>
      <c r="D61" t="s">
        <v>132</v>
      </c>
      <c r="E61">
        <v>1</v>
      </c>
      <c r="F61" t="s">
        <v>11</v>
      </c>
      <c r="G61" t="s">
        <v>12</v>
      </c>
      <c r="H61">
        <v>4.5</v>
      </c>
      <c r="I61">
        <v>63</v>
      </c>
      <c r="K61" t="str">
        <f>IF(C61="","",IF(COUNTIF($C$2:C$215,J61)=1,C61,""))</f>
        <v/>
      </c>
    </row>
    <row r="62" spans="1:11" x14ac:dyDescent="0.25">
      <c r="A62">
        <v>60</v>
      </c>
      <c r="B62" t="s">
        <v>133</v>
      </c>
      <c r="C62" s="2" t="s">
        <v>134</v>
      </c>
      <c r="D62" t="s">
        <v>15</v>
      </c>
      <c r="E62">
        <v>1</v>
      </c>
      <c r="F62" t="s">
        <v>11</v>
      </c>
      <c r="G62" t="s">
        <v>12</v>
      </c>
      <c r="H62">
        <v>4.5</v>
      </c>
      <c r="I62">
        <v>159</v>
      </c>
      <c r="K62" t="str">
        <f>IF(C62="","",IF(COUNTIF($C$2:C$215,J62)=1,C62,""))</f>
        <v/>
      </c>
    </row>
    <row r="63" spans="1:11" x14ac:dyDescent="0.25">
      <c r="A63">
        <v>61</v>
      </c>
      <c r="B63" t="s">
        <v>135</v>
      </c>
      <c r="C63" s="2" t="s">
        <v>136</v>
      </c>
      <c r="D63" t="s">
        <v>10</v>
      </c>
      <c r="E63">
        <v>1</v>
      </c>
      <c r="F63" t="s">
        <v>11</v>
      </c>
      <c r="G63" t="s">
        <v>12</v>
      </c>
      <c r="H63">
        <v>4.5999999999999996</v>
      </c>
      <c r="I63">
        <v>155</v>
      </c>
      <c r="K63" t="str">
        <f>IF(C63="","",IF(COUNTIF($C$2:C$215,J63)=1,C63,""))</f>
        <v/>
      </c>
    </row>
    <row r="64" spans="1:11" x14ac:dyDescent="0.25">
      <c r="A64">
        <v>62</v>
      </c>
      <c r="B64" t="s">
        <v>137</v>
      </c>
      <c r="C64" s="2" t="s">
        <v>138</v>
      </c>
      <c r="D64" t="s">
        <v>10</v>
      </c>
      <c r="E64">
        <v>1</v>
      </c>
      <c r="F64" t="s">
        <v>11</v>
      </c>
      <c r="G64" t="s">
        <v>12</v>
      </c>
      <c r="H64">
        <v>4.4000000000000004</v>
      </c>
      <c r="I64">
        <v>67</v>
      </c>
      <c r="K64" t="str">
        <f>IF(C64="","",IF(COUNTIF($C$2:C$215,J64)=1,C64,""))</f>
        <v/>
      </c>
    </row>
    <row r="65" spans="1:11" x14ac:dyDescent="0.25">
      <c r="A65">
        <v>63</v>
      </c>
      <c r="B65" t="s">
        <v>139</v>
      </c>
      <c r="C65" s="2" t="s">
        <v>140</v>
      </c>
      <c r="D65" t="s">
        <v>15</v>
      </c>
      <c r="E65">
        <v>1</v>
      </c>
      <c r="F65" t="s">
        <v>11</v>
      </c>
      <c r="G65" t="s">
        <v>12</v>
      </c>
      <c r="H65">
        <v>4.9000000000000004</v>
      </c>
      <c r="I65">
        <v>20</v>
      </c>
      <c r="K65" t="str">
        <f>IF(C65="","",IF(COUNTIF($C$2:C$215,J65)=1,C65,""))</f>
        <v/>
      </c>
    </row>
    <row r="66" spans="1:11" x14ac:dyDescent="0.25">
      <c r="A66">
        <v>64</v>
      </c>
      <c r="B66" t="s">
        <v>141</v>
      </c>
      <c r="C66" s="2" t="s">
        <v>142</v>
      </c>
      <c r="D66" t="s">
        <v>15</v>
      </c>
      <c r="E66">
        <v>1</v>
      </c>
      <c r="F66" t="s">
        <v>11</v>
      </c>
      <c r="G66" t="s">
        <v>12</v>
      </c>
      <c r="H66">
        <v>4.0999999999999996</v>
      </c>
      <c r="I66">
        <v>167</v>
      </c>
      <c r="K66" t="str">
        <f>IF(C66="","",IF(COUNTIF($C$2:C$215,J66)=1,C66,""))</f>
        <v/>
      </c>
    </row>
    <row r="67" spans="1:11" x14ac:dyDescent="0.25">
      <c r="A67">
        <v>65</v>
      </c>
      <c r="B67" t="s">
        <v>143</v>
      </c>
      <c r="C67" s="2" t="s">
        <v>144</v>
      </c>
      <c r="D67" t="s">
        <v>15</v>
      </c>
      <c r="E67">
        <v>1</v>
      </c>
      <c r="F67" t="s">
        <v>11</v>
      </c>
      <c r="G67" t="s">
        <v>12</v>
      </c>
      <c r="H67">
        <v>4.3</v>
      </c>
      <c r="I67">
        <v>58</v>
      </c>
      <c r="K67" t="str">
        <f>IF(C67="","",IF(COUNTIF($C$2:C$215,J67)=1,C67,""))</f>
        <v/>
      </c>
    </row>
    <row r="68" spans="1:11" x14ac:dyDescent="0.25">
      <c r="A68">
        <v>66</v>
      </c>
      <c r="B68" t="s">
        <v>145</v>
      </c>
      <c r="C68" s="2" t="s">
        <v>146</v>
      </c>
      <c r="D68" t="s">
        <v>10</v>
      </c>
      <c r="E68">
        <v>1</v>
      </c>
      <c r="F68" t="s">
        <v>11</v>
      </c>
      <c r="G68" t="s">
        <v>12</v>
      </c>
      <c r="H68">
        <v>4.8</v>
      </c>
      <c r="I68">
        <v>18</v>
      </c>
      <c r="K68" t="str">
        <f>IF(C68="","",IF(COUNTIF($C$2:C$215,J68)=1,C68,""))</f>
        <v/>
      </c>
    </row>
    <row r="69" spans="1:11" x14ac:dyDescent="0.25">
      <c r="A69">
        <v>67</v>
      </c>
      <c r="B69" t="s">
        <v>147</v>
      </c>
      <c r="C69" s="2" t="s">
        <v>148</v>
      </c>
      <c r="D69" t="s">
        <v>10</v>
      </c>
      <c r="E69">
        <v>1</v>
      </c>
      <c r="F69" t="s">
        <v>11</v>
      </c>
      <c r="G69" t="s">
        <v>12</v>
      </c>
      <c r="H69">
        <v>4.7</v>
      </c>
      <c r="I69">
        <v>80</v>
      </c>
      <c r="K69" t="str">
        <f>IF(C69="","",IF(COUNTIF($C$2:C$215,J69)=1,C69,""))</f>
        <v/>
      </c>
    </row>
    <row r="70" spans="1:11" x14ac:dyDescent="0.25">
      <c r="A70">
        <v>68</v>
      </c>
      <c r="B70" t="s">
        <v>149</v>
      </c>
      <c r="C70" s="2" t="s">
        <v>150</v>
      </c>
      <c r="D70" t="s">
        <v>10</v>
      </c>
      <c r="E70">
        <v>1</v>
      </c>
      <c r="F70" t="s">
        <v>11</v>
      </c>
      <c r="G70" t="s">
        <v>12</v>
      </c>
      <c r="H70">
        <v>4.5999999999999996</v>
      </c>
      <c r="I70">
        <v>399</v>
      </c>
      <c r="K70" t="str">
        <f>IF(C70="","",IF(COUNTIF($C$2:C$215,J70)=1,C70,""))</f>
        <v/>
      </c>
    </row>
    <row r="71" spans="1:11" x14ac:dyDescent="0.25">
      <c r="A71">
        <v>69</v>
      </c>
      <c r="B71" t="s">
        <v>151</v>
      </c>
      <c r="C71" s="2" t="s">
        <v>152</v>
      </c>
      <c r="D71" t="s">
        <v>132</v>
      </c>
      <c r="E71">
        <v>2</v>
      </c>
      <c r="F71" t="s">
        <v>11</v>
      </c>
      <c r="G71" t="s">
        <v>12</v>
      </c>
      <c r="H71">
        <v>3</v>
      </c>
      <c r="I71">
        <v>3</v>
      </c>
      <c r="K71" t="str">
        <f>IF(C71="","",IF(COUNTIF($C$2:C$215,J71)=1,C71,""))</f>
        <v/>
      </c>
    </row>
    <row r="72" spans="1:11" x14ac:dyDescent="0.25">
      <c r="A72">
        <v>70</v>
      </c>
      <c r="B72" t="s">
        <v>153</v>
      </c>
      <c r="C72" s="2" t="s">
        <v>154</v>
      </c>
      <c r="D72" t="s">
        <v>10</v>
      </c>
      <c r="E72">
        <v>1</v>
      </c>
      <c r="F72" t="s">
        <v>11</v>
      </c>
      <c r="G72" t="s">
        <v>12</v>
      </c>
      <c r="H72">
        <v>4.5999999999999996</v>
      </c>
      <c r="I72">
        <v>8</v>
      </c>
      <c r="K72" t="str">
        <f>IF(C72="","",IF(COUNTIF($C$2:C$215,J72)=1,C72,""))</f>
        <v/>
      </c>
    </row>
    <row r="73" spans="1:11" x14ac:dyDescent="0.25">
      <c r="A73">
        <v>71</v>
      </c>
      <c r="B73" t="s">
        <v>155</v>
      </c>
      <c r="C73" s="2" t="s">
        <v>156</v>
      </c>
      <c r="D73" t="s">
        <v>15</v>
      </c>
      <c r="E73">
        <v>2</v>
      </c>
      <c r="F73" t="s">
        <v>11</v>
      </c>
      <c r="G73" t="s">
        <v>12</v>
      </c>
      <c r="H73">
        <v>4.4000000000000004</v>
      </c>
      <c r="I73">
        <v>7</v>
      </c>
      <c r="K73" t="str">
        <f>IF(C73="","",IF(COUNTIF($C$2:C$215,J73)=1,C73,""))</f>
        <v/>
      </c>
    </row>
    <row r="74" spans="1:11" x14ac:dyDescent="0.25">
      <c r="A74">
        <v>72</v>
      </c>
      <c r="B74" t="s">
        <v>157</v>
      </c>
      <c r="C74" s="2" t="s">
        <v>158</v>
      </c>
      <c r="D74" t="s">
        <v>15</v>
      </c>
      <c r="E74">
        <v>2</v>
      </c>
      <c r="F74" t="s">
        <v>11</v>
      </c>
      <c r="G74" t="s">
        <v>12</v>
      </c>
      <c r="H74">
        <v>4.3</v>
      </c>
      <c r="I74">
        <v>18</v>
      </c>
      <c r="K74" t="str">
        <f>IF(C74="","",IF(COUNTIF($C$2:C$215,J74)=1,C74,""))</f>
        <v/>
      </c>
    </row>
    <row r="75" spans="1:11" x14ac:dyDescent="0.25">
      <c r="A75">
        <v>73</v>
      </c>
      <c r="B75" t="s">
        <v>159</v>
      </c>
      <c r="C75" s="2" t="s">
        <v>160</v>
      </c>
      <c r="D75" t="s">
        <v>10</v>
      </c>
      <c r="E75">
        <v>1</v>
      </c>
      <c r="F75" t="s">
        <v>11</v>
      </c>
      <c r="G75" t="s">
        <v>12</v>
      </c>
      <c r="H75">
        <v>4.5999999999999996</v>
      </c>
      <c r="I75">
        <v>85</v>
      </c>
      <c r="K75" t="str">
        <f>IF(C75="","",IF(COUNTIF($C$2:C$215,J75)=1,C75,""))</f>
        <v/>
      </c>
    </row>
    <row r="76" spans="1:11" x14ac:dyDescent="0.25">
      <c r="A76">
        <v>74</v>
      </c>
      <c r="B76" t="s">
        <v>161</v>
      </c>
      <c r="C76" s="2" t="s">
        <v>162</v>
      </c>
      <c r="D76" t="s">
        <v>10</v>
      </c>
      <c r="E76">
        <v>2</v>
      </c>
      <c r="F76" t="s">
        <v>11</v>
      </c>
      <c r="G76" t="s">
        <v>12</v>
      </c>
      <c r="H76">
        <v>5</v>
      </c>
      <c r="I76">
        <v>1</v>
      </c>
      <c r="K76" t="str">
        <f>IF(C76="","",IF(COUNTIF($C$2:C$215,J76)=1,C76,""))</f>
        <v/>
      </c>
    </row>
    <row r="77" spans="1:11" x14ac:dyDescent="0.25">
      <c r="A77">
        <v>75</v>
      </c>
      <c r="B77" t="s">
        <v>163</v>
      </c>
      <c r="C77" s="2" t="s">
        <v>164</v>
      </c>
      <c r="D77" t="s">
        <v>15</v>
      </c>
      <c r="E77">
        <v>1</v>
      </c>
      <c r="F77" t="s">
        <v>11</v>
      </c>
      <c r="G77" t="s">
        <v>12</v>
      </c>
      <c r="H77">
        <v>4.7</v>
      </c>
      <c r="I77">
        <v>100</v>
      </c>
      <c r="K77" t="str">
        <f>IF(C77="","",IF(COUNTIF($C$2:C$215,J77)=1,C77,""))</f>
        <v/>
      </c>
    </row>
    <row r="78" spans="1:11" x14ac:dyDescent="0.25">
      <c r="A78">
        <v>76</v>
      </c>
      <c r="B78" t="s">
        <v>165</v>
      </c>
      <c r="C78" s="2" t="s">
        <v>166</v>
      </c>
      <c r="D78" t="s">
        <v>10</v>
      </c>
      <c r="E78">
        <v>1</v>
      </c>
      <c r="F78" t="s">
        <v>11</v>
      </c>
      <c r="G78" t="s">
        <v>12</v>
      </c>
      <c r="H78">
        <v>4.5999999999999996</v>
      </c>
      <c r="I78">
        <v>96</v>
      </c>
      <c r="K78" t="str">
        <f>IF(C78="","",IF(COUNTIF($C$2:C$215,J78)=1,C78,""))</f>
        <v/>
      </c>
    </row>
    <row r="79" spans="1:11" x14ac:dyDescent="0.25">
      <c r="A79">
        <v>77</v>
      </c>
      <c r="B79" t="s">
        <v>167</v>
      </c>
      <c r="C79" s="2" t="s">
        <v>168</v>
      </c>
      <c r="D79" t="s">
        <v>10</v>
      </c>
      <c r="E79">
        <v>1</v>
      </c>
      <c r="F79" t="s">
        <v>11</v>
      </c>
      <c r="G79" t="s">
        <v>12</v>
      </c>
      <c r="H79">
        <v>4.8</v>
      </c>
      <c r="I79">
        <v>44</v>
      </c>
      <c r="K79" t="str">
        <f>IF(C79="","",IF(COUNTIF($C$2:C$215,J79)=1,C79,""))</f>
        <v/>
      </c>
    </row>
    <row r="80" spans="1:11" x14ac:dyDescent="0.25">
      <c r="A80">
        <v>78</v>
      </c>
      <c r="B80" t="s">
        <v>169</v>
      </c>
      <c r="C80" s="2" t="s">
        <v>170</v>
      </c>
      <c r="D80" t="s">
        <v>15</v>
      </c>
      <c r="E80">
        <v>1</v>
      </c>
      <c r="F80" t="s">
        <v>11</v>
      </c>
      <c r="G80" t="s">
        <v>12</v>
      </c>
      <c r="H80">
        <v>4.0999999999999996</v>
      </c>
      <c r="I80">
        <v>53</v>
      </c>
      <c r="K80" t="str">
        <f>IF(C80="","",IF(COUNTIF($C$2:C$215,J80)=1,C80,""))</f>
        <v/>
      </c>
    </row>
    <row r="81" spans="1:11" x14ac:dyDescent="0.25">
      <c r="A81">
        <v>79</v>
      </c>
      <c r="B81" t="s">
        <v>171</v>
      </c>
      <c r="C81" s="2" t="s">
        <v>172</v>
      </c>
      <c r="D81" t="s">
        <v>15</v>
      </c>
      <c r="E81">
        <v>1</v>
      </c>
      <c r="F81" t="s">
        <v>11</v>
      </c>
      <c r="G81" t="s">
        <v>12</v>
      </c>
      <c r="H81">
        <v>4.3</v>
      </c>
      <c r="I81">
        <v>52</v>
      </c>
      <c r="K81" t="str">
        <f>IF(C81="","",IF(COUNTIF($C$2:C$215,J81)=1,C81,""))</f>
        <v/>
      </c>
    </row>
    <row r="82" spans="1:11" x14ac:dyDescent="0.25">
      <c r="A82">
        <v>80</v>
      </c>
      <c r="B82" t="s">
        <v>173</v>
      </c>
      <c r="C82" s="2" t="s">
        <v>174</v>
      </c>
      <c r="D82" t="s">
        <v>10</v>
      </c>
      <c r="E82">
        <v>1</v>
      </c>
      <c r="F82" t="s">
        <v>11</v>
      </c>
      <c r="G82" t="s">
        <v>12</v>
      </c>
      <c r="H82">
        <v>4.7</v>
      </c>
      <c r="I82">
        <v>7</v>
      </c>
      <c r="K82" t="str">
        <f>IF(C82="","",IF(COUNTIF($C$2:C$215,J82)=1,C82,""))</f>
        <v/>
      </c>
    </row>
    <row r="83" spans="1:11" x14ac:dyDescent="0.25">
      <c r="A83">
        <v>81</v>
      </c>
      <c r="B83" t="s">
        <v>175</v>
      </c>
      <c r="C83" s="2" t="s">
        <v>176</v>
      </c>
      <c r="D83" t="s">
        <v>15</v>
      </c>
      <c r="E83">
        <v>1</v>
      </c>
      <c r="F83" t="s">
        <v>11</v>
      </c>
      <c r="G83" t="s">
        <v>12</v>
      </c>
      <c r="H83">
        <v>4.2</v>
      </c>
      <c r="I83">
        <v>61</v>
      </c>
      <c r="K83" t="str">
        <f>IF(C83="","",IF(COUNTIF($C$2:C$215,J83)=1,C83,""))</f>
        <v/>
      </c>
    </row>
    <row r="84" spans="1:11" x14ac:dyDescent="0.25">
      <c r="A84">
        <v>82</v>
      </c>
      <c r="B84" t="s">
        <v>177</v>
      </c>
      <c r="C84" s="2" t="s">
        <v>178</v>
      </c>
      <c r="D84" t="s">
        <v>15</v>
      </c>
      <c r="E84">
        <v>2</v>
      </c>
      <c r="F84" t="s">
        <v>11</v>
      </c>
      <c r="G84" t="s">
        <v>12</v>
      </c>
      <c r="H84">
        <v>4</v>
      </c>
      <c r="I84">
        <v>2</v>
      </c>
      <c r="K84" t="str">
        <f>IF(C84="","",IF(COUNTIF($C$2:C$215,J84)=1,C84,""))</f>
        <v/>
      </c>
    </row>
    <row r="85" spans="1:11" x14ac:dyDescent="0.25">
      <c r="A85">
        <v>83</v>
      </c>
      <c r="B85" t="s">
        <v>179</v>
      </c>
      <c r="C85" s="2" t="s">
        <v>180</v>
      </c>
      <c r="D85" t="s">
        <v>15</v>
      </c>
      <c r="E85">
        <v>1</v>
      </c>
      <c r="F85" t="s">
        <v>11</v>
      </c>
      <c r="G85" t="s">
        <v>12</v>
      </c>
      <c r="H85">
        <v>4.8</v>
      </c>
      <c r="I85">
        <v>39</v>
      </c>
      <c r="K85" t="str">
        <f>IF(C85="","",IF(COUNTIF($C$2:C$215,J85)=1,C85,""))</f>
        <v/>
      </c>
    </row>
    <row r="86" spans="1:11" x14ac:dyDescent="0.25">
      <c r="A86">
        <v>84</v>
      </c>
      <c r="B86" t="s">
        <v>181</v>
      </c>
      <c r="C86" s="2" t="s">
        <v>182</v>
      </c>
      <c r="D86" t="s">
        <v>15</v>
      </c>
      <c r="E86">
        <v>1</v>
      </c>
      <c r="F86" t="s">
        <v>11</v>
      </c>
      <c r="G86" t="s">
        <v>12</v>
      </c>
      <c r="H86">
        <v>4.5999999999999996</v>
      </c>
      <c r="I86">
        <v>191</v>
      </c>
      <c r="K86" t="str">
        <f>IF(C86="","",IF(COUNTIF($C$2:C$215,J86)=1,C86,""))</f>
        <v/>
      </c>
    </row>
    <row r="87" spans="1:11" x14ac:dyDescent="0.25">
      <c r="A87">
        <v>85</v>
      </c>
      <c r="B87" t="s">
        <v>183</v>
      </c>
      <c r="C87" s="2" t="s">
        <v>184</v>
      </c>
      <c r="D87" t="s">
        <v>10</v>
      </c>
      <c r="E87">
        <v>1</v>
      </c>
      <c r="F87" t="s">
        <v>11</v>
      </c>
      <c r="G87" t="s">
        <v>12</v>
      </c>
      <c r="H87">
        <v>4.4000000000000004</v>
      </c>
      <c r="I87">
        <v>120</v>
      </c>
      <c r="K87" t="str">
        <f>IF(C87="","",IF(COUNTIF($C$2:C$215,J87)=1,C87,""))</f>
        <v/>
      </c>
    </row>
    <row r="88" spans="1:11" x14ac:dyDescent="0.25">
      <c r="A88">
        <v>86</v>
      </c>
      <c r="B88" t="s">
        <v>185</v>
      </c>
      <c r="C88" s="2" t="s">
        <v>186</v>
      </c>
      <c r="D88" t="s">
        <v>10</v>
      </c>
      <c r="E88">
        <v>1</v>
      </c>
      <c r="F88" t="s">
        <v>11</v>
      </c>
      <c r="G88" t="s">
        <v>12</v>
      </c>
      <c r="H88">
        <v>4.5999999999999996</v>
      </c>
      <c r="I88">
        <v>80</v>
      </c>
      <c r="K88" t="str">
        <f>IF(C88="","",IF(COUNTIF($C$2:C$215,J88)=1,C88,""))</f>
        <v/>
      </c>
    </row>
    <row r="89" spans="1:11" x14ac:dyDescent="0.25">
      <c r="A89">
        <v>87</v>
      </c>
      <c r="B89" t="s">
        <v>187</v>
      </c>
      <c r="C89" s="2" t="s">
        <v>188</v>
      </c>
      <c r="D89" t="s">
        <v>15</v>
      </c>
      <c r="E89">
        <v>1</v>
      </c>
      <c r="F89" t="s">
        <v>11</v>
      </c>
      <c r="G89" t="s">
        <v>12</v>
      </c>
      <c r="H89">
        <v>4.5999999999999996</v>
      </c>
      <c r="I89">
        <v>33</v>
      </c>
      <c r="K89" t="str">
        <f>IF(C89="","",IF(COUNTIF($C$2:C$215,J89)=1,C89,""))</f>
        <v/>
      </c>
    </row>
    <row r="90" spans="1:11" x14ac:dyDescent="0.25">
      <c r="A90">
        <v>88</v>
      </c>
      <c r="B90" t="s">
        <v>189</v>
      </c>
      <c r="C90" s="2" t="s">
        <v>190</v>
      </c>
      <c r="D90" t="s">
        <v>15</v>
      </c>
      <c r="E90">
        <v>1</v>
      </c>
      <c r="F90" t="s">
        <v>11</v>
      </c>
      <c r="G90" t="s">
        <v>12</v>
      </c>
      <c r="H90">
        <v>4.3</v>
      </c>
      <c r="I90">
        <v>179</v>
      </c>
      <c r="K90" t="str">
        <f>IF(C90="","",IF(COUNTIF($C$2:C$215,J90)=1,C90,""))</f>
        <v/>
      </c>
    </row>
    <row r="91" spans="1:11" x14ac:dyDescent="0.25">
      <c r="A91">
        <v>89</v>
      </c>
      <c r="B91" t="s">
        <v>191</v>
      </c>
      <c r="C91" s="2" t="s">
        <v>192</v>
      </c>
      <c r="D91" t="s">
        <v>10</v>
      </c>
      <c r="E91">
        <v>1</v>
      </c>
      <c r="F91" t="s">
        <v>11</v>
      </c>
      <c r="G91" t="s">
        <v>12</v>
      </c>
      <c r="H91">
        <v>4.3</v>
      </c>
      <c r="I91">
        <v>47</v>
      </c>
      <c r="K91" t="str">
        <f>IF(C91="","",IF(COUNTIF($C$2:C$215,J91)=1,C91,""))</f>
        <v/>
      </c>
    </row>
    <row r="92" spans="1:11" x14ac:dyDescent="0.25">
      <c r="A92">
        <v>90</v>
      </c>
      <c r="B92" t="s">
        <v>193</v>
      </c>
      <c r="C92" s="2" t="s">
        <v>194</v>
      </c>
      <c r="D92" t="s">
        <v>10</v>
      </c>
      <c r="E92">
        <v>1</v>
      </c>
      <c r="F92" t="s">
        <v>11</v>
      </c>
      <c r="G92" t="s">
        <v>12</v>
      </c>
      <c r="H92">
        <v>4.3</v>
      </c>
      <c r="I92">
        <v>82</v>
      </c>
      <c r="K92" t="str">
        <f>IF(C92="","",IF(COUNTIF($C$2:C$215,J92)=1,C92,""))</f>
        <v/>
      </c>
    </row>
    <row r="93" spans="1:11" x14ac:dyDescent="0.25">
      <c r="A93">
        <v>91</v>
      </c>
      <c r="B93" t="s">
        <v>195</v>
      </c>
      <c r="C93" s="2" t="s">
        <v>196</v>
      </c>
      <c r="D93" t="s">
        <v>15</v>
      </c>
      <c r="E93">
        <v>1</v>
      </c>
      <c r="F93" t="s">
        <v>11</v>
      </c>
      <c r="G93" t="s">
        <v>12</v>
      </c>
      <c r="H93">
        <v>4.7</v>
      </c>
      <c r="I93">
        <v>51</v>
      </c>
      <c r="K93" t="str">
        <f>IF(C93="","",IF(COUNTIF($C$2:C$215,J93)=1,C93,""))</f>
        <v/>
      </c>
    </row>
    <row r="94" spans="1:11" x14ac:dyDescent="0.25">
      <c r="A94">
        <v>92</v>
      </c>
      <c r="B94" t="s">
        <v>197</v>
      </c>
      <c r="C94" s="2" t="s">
        <v>198</v>
      </c>
      <c r="D94" t="s">
        <v>15</v>
      </c>
      <c r="E94">
        <v>1</v>
      </c>
      <c r="F94" t="s">
        <v>11</v>
      </c>
      <c r="G94" t="s">
        <v>12</v>
      </c>
      <c r="H94">
        <v>4.5999999999999996</v>
      </c>
      <c r="I94">
        <v>172</v>
      </c>
      <c r="K94" t="str">
        <f>IF(C94="","",IF(COUNTIF($C$2:C$215,J94)=1,C94,""))</f>
        <v/>
      </c>
    </row>
    <row r="95" spans="1:11" x14ac:dyDescent="0.25">
      <c r="A95">
        <v>93</v>
      </c>
      <c r="B95" t="s">
        <v>199</v>
      </c>
      <c r="C95" s="2" t="s">
        <v>200</v>
      </c>
      <c r="D95" t="s">
        <v>132</v>
      </c>
      <c r="E95">
        <v>1</v>
      </c>
      <c r="F95" t="s">
        <v>11</v>
      </c>
      <c r="G95" t="s">
        <v>12</v>
      </c>
      <c r="H95">
        <v>4.7</v>
      </c>
      <c r="I95">
        <v>62</v>
      </c>
      <c r="K95" t="str">
        <f>IF(C95="","",IF(COUNTIF($C$2:C$215,J95)=1,C95,""))</f>
        <v/>
      </c>
    </row>
    <row r="96" spans="1:11" x14ac:dyDescent="0.25">
      <c r="A96">
        <v>94</v>
      </c>
      <c r="B96" t="s">
        <v>201</v>
      </c>
      <c r="C96" s="2" t="s">
        <v>202</v>
      </c>
      <c r="D96" t="s">
        <v>10</v>
      </c>
      <c r="E96">
        <v>1</v>
      </c>
      <c r="F96" t="s">
        <v>11</v>
      </c>
      <c r="G96" t="s">
        <v>12</v>
      </c>
      <c r="H96">
        <v>4.2</v>
      </c>
      <c r="I96">
        <v>9</v>
      </c>
      <c r="K96" t="str">
        <f>IF(C96="","",IF(COUNTIF($C$2:C$215,J96)=1,C96,""))</f>
        <v/>
      </c>
    </row>
    <row r="97" spans="1:11" x14ac:dyDescent="0.25">
      <c r="A97">
        <v>95</v>
      </c>
      <c r="B97" t="s">
        <v>203</v>
      </c>
      <c r="C97" s="2" t="s">
        <v>204</v>
      </c>
      <c r="D97" t="s">
        <v>10</v>
      </c>
      <c r="E97">
        <v>1</v>
      </c>
      <c r="F97" t="s">
        <v>11</v>
      </c>
      <c r="G97" t="s">
        <v>12</v>
      </c>
      <c r="H97">
        <v>4.4000000000000004</v>
      </c>
      <c r="I97">
        <v>5</v>
      </c>
      <c r="K97" t="str">
        <f>IF(C97="","",IF(COUNTIF($C$2:C$215,J97)=1,C97,""))</f>
        <v/>
      </c>
    </row>
    <row r="98" spans="1:11" x14ac:dyDescent="0.25">
      <c r="A98">
        <v>96</v>
      </c>
      <c r="B98" t="s">
        <v>205</v>
      </c>
      <c r="C98" s="2" t="s">
        <v>206</v>
      </c>
      <c r="D98" t="s">
        <v>10</v>
      </c>
      <c r="E98">
        <v>1</v>
      </c>
      <c r="F98" t="s">
        <v>11</v>
      </c>
      <c r="G98" t="s">
        <v>12</v>
      </c>
      <c r="H98">
        <v>4.0999999999999996</v>
      </c>
      <c r="I98">
        <v>34</v>
      </c>
      <c r="K98" t="str">
        <f>IF(C98="","",IF(COUNTIF($C$2:C$215,J98)=1,C98,""))</f>
        <v/>
      </c>
    </row>
    <row r="99" spans="1:11" x14ac:dyDescent="0.25">
      <c r="A99">
        <v>97</v>
      </c>
      <c r="B99" t="s">
        <v>207</v>
      </c>
      <c r="C99" s="2" t="s">
        <v>208</v>
      </c>
      <c r="D99" t="s">
        <v>10</v>
      </c>
      <c r="E99">
        <v>1</v>
      </c>
      <c r="F99" t="s">
        <v>11</v>
      </c>
      <c r="G99" t="s">
        <v>12</v>
      </c>
      <c r="H99">
        <v>4.9000000000000004</v>
      </c>
      <c r="I99">
        <v>32</v>
      </c>
      <c r="K99" t="str">
        <f>IF(C99="","",IF(COUNTIF($C$2:C$215,J99)=1,C99,""))</f>
        <v/>
      </c>
    </row>
    <row r="100" spans="1:11" x14ac:dyDescent="0.25">
      <c r="A100">
        <v>98</v>
      </c>
      <c r="B100" t="s">
        <v>209</v>
      </c>
      <c r="C100" s="2" t="s">
        <v>210</v>
      </c>
      <c r="D100" t="s">
        <v>10</v>
      </c>
      <c r="E100">
        <v>1</v>
      </c>
      <c r="F100" t="s">
        <v>11</v>
      </c>
      <c r="G100" t="s">
        <v>12</v>
      </c>
      <c r="H100">
        <v>4.5</v>
      </c>
      <c r="I100">
        <v>203</v>
      </c>
      <c r="K100" t="str">
        <f>IF(C100="","",IF(COUNTIF($C$2:C$215,J100)=1,C100,""))</f>
        <v/>
      </c>
    </row>
    <row r="101" spans="1:11" x14ac:dyDescent="0.25">
      <c r="A101">
        <v>99</v>
      </c>
      <c r="B101" t="s">
        <v>211</v>
      </c>
      <c r="C101" s="2" t="s">
        <v>212</v>
      </c>
      <c r="D101" t="s">
        <v>10</v>
      </c>
      <c r="E101">
        <v>1</v>
      </c>
      <c r="F101" t="s">
        <v>11</v>
      </c>
      <c r="G101" t="s">
        <v>12</v>
      </c>
      <c r="H101">
        <v>4.7</v>
      </c>
      <c r="I101">
        <v>63</v>
      </c>
      <c r="K101" t="str">
        <f>IF(C101="","",IF(COUNTIF($C$2:C$215,J101)=1,C101,""))</f>
        <v/>
      </c>
    </row>
    <row r="102" spans="1:11" x14ac:dyDescent="0.25">
      <c r="A102">
        <v>0</v>
      </c>
      <c r="B102" t="s">
        <v>213</v>
      </c>
      <c r="C102" s="2" t="s">
        <v>214</v>
      </c>
      <c r="D102" t="s">
        <v>15</v>
      </c>
      <c r="E102">
        <v>1</v>
      </c>
      <c r="F102" t="s">
        <v>11</v>
      </c>
      <c r="G102" t="s">
        <v>12</v>
      </c>
      <c r="H102">
        <v>4.7</v>
      </c>
      <c r="I102">
        <v>1029</v>
      </c>
      <c r="K102" t="str">
        <f>IF(C102="","",IF(COUNTIF($C$2:C$215,J102)=1,C102,""))</f>
        <v/>
      </c>
    </row>
    <row r="103" spans="1:11" x14ac:dyDescent="0.25">
      <c r="A103">
        <v>1</v>
      </c>
      <c r="B103" t="s">
        <v>215</v>
      </c>
      <c r="C103" s="2" t="s">
        <v>216</v>
      </c>
      <c r="D103" t="s">
        <v>10</v>
      </c>
      <c r="E103">
        <v>1</v>
      </c>
      <c r="F103" t="s">
        <v>11</v>
      </c>
      <c r="G103" t="s">
        <v>12</v>
      </c>
      <c r="H103">
        <v>4.5999999999999996</v>
      </c>
      <c r="I103">
        <v>1397</v>
      </c>
      <c r="K103" t="str">
        <f>IF(C103="","",IF(COUNTIF($C$2:C$215,J103)=1,C103,""))</f>
        <v/>
      </c>
    </row>
    <row r="104" spans="1:11" x14ac:dyDescent="0.25">
      <c r="A104">
        <v>2</v>
      </c>
      <c r="B104" t="s">
        <v>217</v>
      </c>
      <c r="C104" s="2" t="s">
        <v>218</v>
      </c>
      <c r="D104" t="s">
        <v>15</v>
      </c>
      <c r="E104">
        <v>1</v>
      </c>
      <c r="F104" t="s">
        <v>11</v>
      </c>
      <c r="G104" t="s">
        <v>12</v>
      </c>
      <c r="H104">
        <v>4.5</v>
      </c>
      <c r="I104">
        <v>1201</v>
      </c>
      <c r="K104" t="str">
        <f>IF(C104="","",IF(COUNTIF($C$2:C$215,J104)=1,C104,""))</f>
        <v/>
      </c>
    </row>
    <row r="105" spans="1:11" x14ac:dyDescent="0.25">
      <c r="A105">
        <v>3</v>
      </c>
      <c r="B105" t="s">
        <v>219</v>
      </c>
      <c r="C105" s="2" t="s">
        <v>220</v>
      </c>
      <c r="D105" t="s">
        <v>10</v>
      </c>
      <c r="E105">
        <v>1</v>
      </c>
      <c r="F105" t="s">
        <v>11</v>
      </c>
      <c r="G105" t="s">
        <v>12</v>
      </c>
      <c r="H105">
        <v>4.4000000000000004</v>
      </c>
      <c r="I105">
        <v>261</v>
      </c>
      <c r="K105" t="str">
        <f>IF(C105="","",IF(COUNTIF($C$2:C$215,J105)=1,C105,""))</f>
        <v/>
      </c>
    </row>
    <row r="106" spans="1:11" x14ac:dyDescent="0.25">
      <c r="A106">
        <v>4</v>
      </c>
      <c r="B106" t="s">
        <v>221</v>
      </c>
      <c r="C106" s="2" t="s">
        <v>222</v>
      </c>
      <c r="D106" t="s">
        <v>15</v>
      </c>
      <c r="E106">
        <v>1</v>
      </c>
      <c r="F106" t="s">
        <v>11</v>
      </c>
      <c r="G106" t="s">
        <v>12</v>
      </c>
      <c r="H106">
        <v>4.5</v>
      </c>
      <c r="I106">
        <v>1337</v>
      </c>
      <c r="K106" t="str">
        <f>IF(C106="","",IF(COUNTIF($C$2:C$215,J106)=1,C106,""))</f>
        <v/>
      </c>
    </row>
    <row r="107" spans="1:11" x14ac:dyDescent="0.25">
      <c r="A107">
        <v>5</v>
      </c>
      <c r="B107" t="s">
        <v>223</v>
      </c>
      <c r="C107" s="2" t="s">
        <v>224</v>
      </c>
      <c r="D107" t="s">
        <v>15</v>
      </c>
      <c r="E107">
        <v>1</v>
      </c>
      <c r="F107" t="s">
        <v>11</v>
      </c>
      <c r="G107" t="s">
        <v>12</v>
      </c>
      <c r="H107">
        <v>4.5</v>
      </c>
      <c r="I107">
        <v>617</v>
      </c>
      <c r="K107" t="str">
        <f>IF(C107="","",IF(COUNTIF($C$2:C$215,J107)=1,C107,""))</f>
        <v/>
      </c>
    </row>
    <row r="108" spans="1:11" x14ac:dyDescent="0.25">
      <c r="A108">
        <v>6</v>
      </c>
      <c r="B108" t="s">
        <v>225</v>
      </c>
      <c r="C108" s="2" t="s">
        <v>226</v>
      </c>
      <c r="D108" t="s">
        <v>10</v>
      </c>
      <c r="E108">
        <v>1</v>
      </c>
      <c r="F108" t="s">
        <v>11</v>
      </c>
      <c r="G108" t="s">
        <v>12</v>
      </c>
      <c r="H108">
        <v>4.5999999999999996</v>
      </c>
      <c r="I108">
        <v>169</v>
      </c>
      <c r="K108" t="str">
        <f>IF(C108="","",IF(COUNTIF($C$2:C$215,J108)=1,C108,""))</f>
        <v/>
      </c>
    </row>
    <row r="109" spans="1:11" x14ac:dyDescent="0.25">
      <c r="A109">
        <v>7</v>
      </c>
      <c r="B109" t="s">
        <v>227</v>
      </c>
      <c r="C109" s="2" t="s">
        <v>228</v>
      </c>
      <c r="D109" t="s">
        <v>10</v>
      </c>
      <c r="E109">
        <v>1</v>
      </c>
      <c r="F109" t="s">
        <v>11</v>
      </c>
      <c r="G109" t="s">
        <v>12</v>
      </c>
      <c r="H109">
        <v>4.2</v>
      </c>
      <c r="I109">
        <v>160</v>
      </c>
      <c r="K109" t="str">
        <f>IF(C109="","",IF(COUNTIF($C$2:C$215,J109)=1,C109,""))</f>
        <v/>
      </c>
    </row>
    <row r="110" spans="1:11" x14ac:dyDescent="0.25">
      <c r="A110">
        <v>8</v>
      </c>
      <c r="B110" t="s">
        <v>229</v>
      </c>
      <c r="C110" s="2" t="s">
        <v>230</v>
      </c>
      <c r="D110" t="s">
        <v>15</v>
      </c>
      <c r="E110">
        <v>1</v>
      </c>
      <c r="F110" t="s">
        <v>11</v>
      </c>
      <c r="G110" t="s">
        <v>12</v>
      </c>
      <c r="H110">
        <v>4.5</v>
      </c>
      <c r="I110">
        <v>156</v>
      </c>
      <c r="K110" t="str">
        <f>IF(C110="","",IF(COUNTIF($C$2:C$215,J110)=1,C110,""))</f>
        <v/>
      </c>
    </row>
    <row r="111" spans="1:11" x14ac:dyDescent="0.25">
      <c r="A111">
        <v>9</v>
      </c>
      <c r="B111" t="s">
        <v>231</v>
      </c>
      <c r="C111" s="2" t="s">
        <v>232</v>
      </c>
      <c r="D111" t="s">
        <v>10</v>
      </c>
      <c r="E111">
        <v>1</v>
      </c>
      <c r="F111" t="s">
        <v>11</v>
      </c>
      <c r="G111" t="s">
        <v>12</v>
      </c>
      <c r="H111">
        <v>4.5999999999999996</v>
      </c>
      <c r="I111">
        <v>534</v>
      </c>
      <c r="K111" t="str">
        <f>IF(C111="","",IF(COUNTIF($C$2:C$215,J111)=1,C111,""))</f>
        <v/>
      </c>
    </row>
    <row r="112" spans="1:11" x14ac:dyDescent="0.25">
      <c r="A112">
        <v>10</v>
      </c>
      <c r="B112" t="s">
        <v>233</v>
      </c>
      <c r="C112" s="2" t="s">
        <v>234</v>
      </c>
      <c r="D112" t="s">
        <v>10</v>
      </c>
      <c r="E112">
        <v>1</v>
      </c>
      <c r="F112" t="s">
        <v>11</v>
      </c>
      <c r="G112" t="s">
        <v>12</v>
      </c>
      <c r="H112">
        <v>4.5</v>
      </c>
      <c r="I112">
        <v>805</v>
      </c>
      <c r="K112" t="str">
        <f>IF(C112="","",IF(COUNTIF($C$2:C$215,J112)=1,C112,""))</f>
        <v/>
      </c>
    </row>
    <row r="113" spans="1:11" x14ac:dyDescent="0.25">
      <c r="A113">
        <v>11</v>
      </c>
      <c r="B113" t="s">
        <v>235</v>
      </c>
      <c r="C113" s="2" t="s">
        <v>236</v>
      </c>
      <c r="D113" t="s">
        <v>15</v>
      </c>
      <c r="E113">
        <v>1</v>
      </c>
      <c r="F113" t="s">
        <v>11</v>
      </c>
      <c r="G113" t="s">
        <v>12</v>
      </c>
      <c r="H113">
        <v>4.7</v>
      </c>
      <c r="I113">
        <v>76</v>
      </c>
      <c r="K113" t="str">
        <f>IF(C113="","",IF(COUNTIF($C$2:C$215,J113)=1,C113,""))</f>
        <v/>
      </c>
    </row>
    <row r="114" spans="1:11" x14ac:dyDescent="0.25">
      <c r="A114">
        <v>12</v>
      </c>
      <c r="B114" t="s">
        <v>237</v>
      </c>
      <c r="C114" s="2" t="s">
        <v>238</v>
      </c>
      <c r="D114" t="s">
        <v>10</v>
      </c>
      <c r="E114">
        <v>1</v>
      </c>
      <c r="F114" t="s">
        <v>11</v>
      </c>
      <c r="G114" t="s">
        <v>12</v>
      </c>
      <c r="H114">
        <v>4</v>
      </c>
      <c r="I114">
        <v>74</v>
      </c>
      <c r="K114" t="str">
        <f>IF(C114="","",IF(COUNTIF($C$2:C$215,J114)=1,C114,""))</f>
        <v/>
      </c>
    </row>
    <row r="115" spans="1:11" x14ac:dyDescent="0.25">
      <c r="A115">
        <v>13</v>
      </c>
      <c r="B115" t="s">
        <v>239</v>
      </c>
      <c r="C115" s="2" t="s">
        <v>240</v>
      </c>
      <c r="D115" t="s">
        <v>15</v>
      </c>
      <c r="E115">
        <v>1</v>
      </c>
      <c r="F115" t="s">
        <v>11</v>
      </c>
      <c r="G115" t="s">
        <v>12</v>
      </c>
      <c r="H115">
        <v>4.7</v>
      </c>
      <c r="I115">
        <v>143</v>
      </c>
      <c r="K115" t="str">
        <f>IF(C115="","",IF(COUNTIF($C$2:C$215,J115)=1,C115,""))</f>
        <v/>
      </c>
    </row>
    <row r="116" spans="1:11" x14ac:dyDescent="0.25">
      <c r="A116">
        <v>14</v>
      </c>
      <c r="B116" t="s">
        <v>241</v>
      </c>
      <c r="C116" s="2" t="s">
        <v>242</v>
      </c>
      <c r="D116" t="s">
        <v>15</v>
      </c>
      <c r="E116">
        <v>1</v>
      </c>
      <c r="F116" t="s">
        <v>11</v>
      </c>
      <c r="G116" t="s">
        <v>12</v>
      </c>
      <c r="H116">
        <v>4.2</v>
      </c>
      <c r="I116">
        <v>36</v>
      </c>
      <c r="K116" t="str">
        <f>IF(C116="","",IF(COUNTIF($C$2:C$215,J116)=1,C116,""))</f>
        <v/>
      </c>
    </row>
    <row r="117" spans="1:11" x14ac:dyDescent="0.25">
      <c r="A117">
        <v>15</v>
      </c>
      <c r="B117" t="s">
        <v>243</v>
      </c>
      <c r="C117" s="2" t="s">
        <v>244</v>
      </c>
      <c r="D117" t="s">
        <v>10</v>
      </c>
      <c r="E117">
        <v>1</v>
      </c>
      <c r="F117" t="s">
        <v>11</v>
      </c>
      <c r="G117" t="s">
        <v>12</v>
      </c>
      <c r="H117">
        <v>3.7</v>
      </c>
      <c r="I117">
        <v>225</v>
      </c>
      <c r="K117" t="str">
        <f>IF(C117="","",IF(COUNTIF($C$2:C$215,J117)=1,C117,""))</f>
        <v/>
      </c>
    </row>
    <row r="118" spans="1:11" x14ac:dyDescent="0.25">
      <c r="A118">
        <v>16</v>
      </c>
      <c r="B118" t="s">
        <v>245</v>
      </c>
      <c r="C118" s="2" t="s">
        <v>246</v>
      </c>
      <c r="D118" t="s">
        <v>15</v>
      </c>
      <c r="E118">
        <v>1</v>
      </c>
      <c r="F118" t="s">
        <v>11</v>
      </c>
      <c r="G118" t="s">
        <v>12</v>
      </c>
      <c r="H118">
        <v>4.5999999999999996</v>
      </c>
      <c r="I118">
        <v>633</v>
      </c>
      <c r="K118" t="str">
        <f>IF(C118="","",IF(COUNTIF($C$2:C$215,J118)=1,C118,""))</f>
        <v/>
      </c>
    </row>
    <row r="119" spans="1:11" x14ac:dyDescent="0.25">
      <c r="A119">
        <v>17</v>
      </c>
      <c r="B119" t="s">
        <v>247</v>
      </c>
      <c r="C119" s="2" t="s">
        <v>248</v>
      </c>
      <c r="D119" t="s">
        <v>10</v>
      </c>
      <c r="E119">
        <v>1</v>
      </c>
      <c r="F119" t="s">
        <v>11</v>
      </c>
      <c r="G119" t="s">
        <v>12</v>
      </c>
      <c r="H119">
        <v>4.5</v>
      </c>
      <c r="I119">
        <v>327</v>
      </c>
      <c r="K119" t="str">
        <f>IF(C119="","",IF(COUNTIF($C$2:C$215,J119)=1,C119,""))</f>
        <v/>
      </c>
    </row>
    <row r="120" spans="1:11" x14ac:dyDescent="0.25">
      <c r="A120">
        <v>18</v>
      </c>
      <c r="B120" t="s">
        <v>249</v>
      </c>
      <c r="C120" s="2" t="s">
        <v>250</v>
      </c>
      <c r="D120" t="s">
        <v>15</v>
      </c>
      <c r="E120">
        <v>1</v>
      </c>
      <c r="F120" t="s">
        <v>11</v>
      </c>
      <c r="G120" t="s">
        <v>12</v>
      </c>
      <c r="H120">
        <v>4.8</v>
      </c>
      <c r="I120">
        <v>190</v>
      </c>
      <c r="K120" t="str">
        <f>IF(C120="","",IF(COUNTIF($C$2:C$215,J120)=1,C120,""))</f>
        <v/>
      </c>
    </row>
    <row r="121" spans="1:11" x14ac:dyDescent="0.25">
      <c r="A121">
        <v>19</v>
      </c>
      <c r="B121" t="s">
        <v>251</v>
      </c>
      <c r="C121" s="2" t="s">
        <v>252</v>
      </c>
      <c r="D121" t="s">
        <v>10</v>
      </c>
      <c r="E121">
        <v>1</v>
      </c>
      <c r="F121" t="s">
        <v>11</v>
      </c>
      <c r="G121" t="s">
        <v>12</v>
      </c>
      <c r="H121">
        <v>3.9</v>
      </c>
      <c r="I121">
        <v>408</v>
      </c>
      <c r="K121" t="str">
        <f>IF(C121="","",IF(COUNTIF($C$2:C$215,J121)=1,C121,""))</f>
        <v/>
      </c>
    </row>
    <row r="122" spans="1:11" x14ac:dyDescent="0.25">
      <c r="A122">
        <v>20</v>
      </c>
      <c r="B122" t="s">
        <v>253</v>
      </c>
      <c r="C122" s="2" t="s">
        <v>254</v>
      </c>
      <c r="D122" t="s">
        <v>15</v>
      </c>
      <c r="E122">
        <v>1</v>
      </c>
      <c r="F122" t="s">
        <v>11</v>
      </c>
      <c r="G122" t="s">
        <v>12</v>
      </c>
      <c r="H122">
        <v>4.7</v>
      </c>
      <c r="I122">
        <v>72</v>
      </c>
      <c r="K122" t="str">
        <f>IF(C122="","",IF(COUNTIF($C$2:C$215,J122)=1,C122,""))</f>
        <v/>
      </c>
    </row>
    <row r="123" spans="1:11" x14ac:dyDescent="0.25">
      <c r="A123">
        <v>21</v>
      </c>
      <c r="B123" t="s">
        <v>255</v>
      </c>
      <c r="C123" s="2" t="s">
        <v>256</v>
      </c>
      <c r="D123" t="s">
        <v>132</v>
      </c>
      <c r="E123">
        <v>1</v>
      </c>
      <c r="F123" t="s">
        <v>11</v>
      </c>
      <c r="G123" t="s">
        <v>12</v>
      </c>
      <c r="H123">
        <v>4.5</v>
      </c>
      <c r="I123">
        <v>200</v>
      </c>
      <c r="K123" t="str">
        <f>IF(C123="","",IF(COUNTIF($C$2:C$215,J123)=1,C123,""))</f>
        <v/>
      </c>
    </row>
    <row r="124" spans="1:11" x14ac:dyDescent="0.25">
      <c r="A124">
        <v>22</v>
      </c>
      <c r="B124" t="s">
        <v>257</v>
      </c>
      <c r="C124" s="2" t="s">
        <v>258</v>
      </c>
      <c r="D124" t="s">
        <v>10</v>
      </c>
      <c r="E124">
        <v>1</v>
      </c>
      <c r="F124" t="s">
        <v>11</v>
      </c>
      <c r="G124" t="s">
        <v>12</v>
      </c>
      <c r="H124">
        <v>4.7</v>
      </c>
      <c r="I124">
        <v>241</v>
      </c>
      <c r="K124" t="str">
        <f>IF(C124="","",IF(COUNTIF($C$2:C$215,J124)=1,C124,""))</f>
        <v/>
      </c>
    </row>
    <row r="125" spans="1:11" x14ac:dyDescent="0.25">
      <c r="A125">
        <v>23</v>
      </c>
      <c r="B125" t="s">
        <v>259</v>
      </c>
      <c r="C125" s="2" t="s">
        <v>260</v>
      </c>
      <c r="D125" t="s">
        <v>10</v>
      </c>
      <c r="E125">
        <v>1</v>
      </c>
      <c r="F125" t="s">
        <v>11</v>
      </c>
      <c r="G125" t="s">
        <v>12</v>
      </c>
      <c r="H125">
        <v>4.7</v>
      </c>
      <c r="I125">
        <v>288</v>
      </c>
      <c r="K125" t="str">
        <f>IF(C125="","",IF(COUNTIF($C$2:C$215,J125)=1,C125,""))</f>
        <v/>
      </c>
    </row>
    <row r="126" spans="1:11" x14ac:dyDescent="0.25">
      <c r="A126">
        <v>24</v>
      </c>
      <c r="B126" t="s">
        <v>261</v>
      </c>
      <c r="C126" s="2" t="s">
        <v>262</v>
      </c>
      <c r="D126" t="s">
        <v>132</v>
      </c>
      <c r="E126">
        <v>1</v>
      </c>
      <c r="F126" t="s">
        <v>11</v>
      </c>
      <c r="G126" t="s">
        <v>12</v>
      </c>
      <c r="H126">
        <v>4.5999999999999996</v>
      </c>
      <c r="I126">
        <v>154</v>
      </c>
      <c r="K126" t="str">
        <f>IF(C126="","",IF(COUNTIF($C$2:C$215,J126)=1,C126,""))</f>
        <v/>
      </c>
    </row>
    <row r="127" spans="1:11" x14ac:dyDescent="0.25">
      <c r="A127">
        <v>25</v>
      </c>
      <c r="B127" t="s">
        <v>263</v>
      </c>
      <c r="C127" s="2" t="s">
        <v>264</v>
      </c>
      <c r="D127" t="s">
        <v>15</v>
      </c>
      <c r="E127">
        <v>1</v>
      </c>
      <c r="F127" t="s">
        <v>11</v>
      </c>
      <c r="G127" t="s">
        <v>12</v>
      </c>
      <c r="H127">
        <v>4.5999999999999996</v>
      </c>
      <c r="I127">
        <v>45</v>
      </c>
      <c r="K127" t="str">
        <f>IF(C127="","",IF(COUNTIF($C$2:C$215,J127)=1,C127,""))</f>
        <v/>
      </c>
    </row>
    <row r="128" spans="1:11" x14ac:dyDescent="0.25">
      <c r="A128">
        <v>26</v>
      </c>
      <c r="B128" t="s">
        <v>265</v>
      </c>
      <c r="C128" s="2" t="s">
        <v>266</v>
      </c>
      <c r="D128" t="s">
        <v>15</v>
      </c>
      <c r="E128">
        <v>1</v>
      </c>
      <c r="F128" t="s">
        <v>11</v>
      </c>
      <c r="G128" t="s">
        <v>12</v>
      </c>
      <c r="H128">
        <v>4.5</v>
      </c>
      <c r="I128">
        <v>148</v>
      </c>
      <c r="K128" t="str">
        <f>IF(C128="","",IF(COUNTIF($C$2:C$215,J128)=1,C128,""))</f>
        <v/>
      </c>
    </row>
    <row r="129" spans="1:11" x14ac:dyDescent="0.25">
      <c r="A129">
        <v>27</v>
      </c>
      <c r="B129" t="s">
        <v>267</v>
      </c>
      <c r="C129" s="2" t="s">
        <v>268</v>
      </c>
      <c r="D129" t="s">
        <v>10</v>
      </c>
      <c r="E129">
        <v>1</v>
      </c>
      <c r="F129" t="s">
        <v>11</v>
      </c>
      <c r="G129" t="s">
        <v>12</v>
      </c>
      <c r="H129">
        <v>4.3</v>
      </c>
      <c r="I129">
        <v>49</v>
      </c>
      <c r="K129" t="str">
        <f>IF(C129="","",IF(COUNTIF($C$2:C$215,J129)=1,C129,""))</f>
        <v/>
      </c>
    </row>
    <row r="130" spans="1:11" x14ac:dyDescent="0.25">
      <c r="A130">
        <v>28</v>
      </c>
      <c r="B130" t="s">
        <v>269</v>
      </c>
      <c r="C130" s="2" t="s">
        <v>270</v>
      </c>
      <c r="D130" t="s">
        <v>15</v>
      </c>
      <c r="E130">
        <v>1</v>
      </c>
      <c r="F130" t="s">
        <v>11</v>
      </c>
      <c r="G130" t="s">
        <v>12</v>
      </c>
      <c r="H130">
        <v>4.3</v>
      </c>
      <c r="I130">
        <v>45</v>
      </c>
      <c r="K130" t="str">
        <f>IF(C130="","",IF(COUNTIF($C$2:C$215,J130)=1,C130,""))</f>
        <v/>
      </c>
    </row>
    <row r="131" spans="1:11" x14ac:dyDescent="0.25">
      <c r="A131">
        <v>29</v>
      </c>
      <c r="B131" t="s">
        <v>271</v>
      </c>
      <c r="C131" s="2" t="s">
        <v>272</v>
      </c>
      <c r="D131" t="s">
        <v>15</v>
      </c>
      <c r="E131">
        <v>1</v>
      </c>
      <c r="F131" t="s">
        <v>11</v>
      </c>
      <c r="G131" t="s">
        <v>12</v>
      </c>
      <c r="H131">
        <v>4.2</v>
      </c>
      <c r="I131">
        <v>564</v>
      </c>
      <c r="K131" t="str">
        <f>IF(C131="","",IF(COUNTIF($C$2:C$215,J131)=1,C131,""))</f>
        <v/>
      </c>
    </row>
    <row r="132" spans="1:11" x14ac:dyDescent="0.25">
      <c r="A132">
        <v>30</v>
      </c>
      <c r="B132" t="s">
        <v>273</v>
      </c>
      <c r="C132" s="2" t="s">
        <v>274</v>
      </c>
      <c r="D132" t="s">
        <v>15</v>
      </c>
      <c r="E132">
        <v>1</v>
      </c>
      <c r="F132" t="s">
        <v>11</v>
      </c>
      <c r="G132" t="s">
        <v>12</v>
      </c>
      <c r="H132">
        <v>4.5999999999999996</v>
      </c>
      <c r="I132">
        <v>546</v>
      </c>
      <c r="K132" t="str">
        <f>IF(C132="","",IF(COUNTIF($C$2:C$215,J132)=1,C132,""))</f>
        <v/>
      </c>
    </row>
    <row r="133" spans="1:11" x14ac:dyDescent="0.25">
      <c r="A133">
        <v>31</v>
      </c>
      <c r="B133" t="s">
        <v>275</v>
      </c>
      <c r="C133" s="2" t="s">
        <v>276</v>
      </c>
      <c r="D133" t="s">
        <v>10</v>
      </c>
      <c r="E133">
        <v>1</v>
      </c>
      <c r="F133" t="s">
        <v>11</v>
      </c>
      <c r="G133" t="s">
        <v>12</v>
      </c>
      <c r="H133">
        <v>4.4000000000000004</v>
      </c>
      <c r="I133">
        <v>124</v>
      </c>
      <c r="K133" t="str">
        <f>IF(C133="","",IF(COUNTIF($C$2:C$215,J133)=1,C133,""))</f>
        <v/>
      </c>
    </row>
    <row r="134" spans="1:11" x14ac:dyDescent="0.25">
      <c r="A134">
        <v>32</v>
      </c>
      <c r="B134" t="s">
        <v>277</v>
      </c>
      <c r="C134" s="2" t="s">
        <v>278</v>
      </c>
      <c r="D134" t="s">
        <v>10</v>
      </c>
      <c r="E134">
        <v>1</v>
      </c>
      <c r="F134" t="s">
        <v>11</v>
      </c>
      <c r="G134" t="s">
        <v>12</v>
      </c>
      <c r="H134">
        <v>4.4000000000000004</v>
      </c>
      <c r="I134">
        <v>19</v>
      </c>
      <c r="K134" t="str">
        <f>IF(C134="","",IF(COUNTIF($C$2:C$215,J134)=1,C134,""))</f>
        <v/>
      </c>
    </row>
    <row r="135" spans="1:11" x14ac:dyDescent="0.25">
      <c r="A135">
        <v>33</v>
      </c>
      <c r="B135" t="s">
        <v>279</v>
      </c>
      <c r="C135" s="2" t="s">
        <v>280</v>
      </c>
      <c r="D135" t="s">
        <v>10</v>
      </c>
      <c r="E135">
        <v>2</v>
      </c>
      <c r="F135" t="s">
        <v>11</v>
      </c>
      <c r="G135" t="s">
        <v>281</v>
      </c>
      <c r="H135">
        <v>2.5</v>
      </c>
      <c r="I135">
        <v>2</v>
      </c>
      <c r="K135" t="str">
        <f>IF(C135="","",IF(COUNTIF($C$2:C$215,J135)=1,C135,""))</f>
        <v/>
      </c>
    </row>
    <row r="136" spans="1:11" x14ac:dyDescent="0.25">
      <c r="A136">
        <v>34</v>
      </c>
      <c r="B136" t="s">
        <v>282</v>
      </c>
      <c r="C136" s="2" t="s">
        <v>283</v>
      </c>
      <c r="D136" t="s">
        <v>10</v>
      </c>
      <c r="E136">
        <v>1</v>
      </c>
      <c r="F136" t="s">
        <v>11</v>
      </c>
      <c r="G136" t="s">
        <v>12</v>
      </c>
      <c r="H136">
        <v>4.4000000000000004</v>
      </c>
      <c r="I136">
        <v>327</v>
      </c>
      <c r="K136" t="str">
        <f>IF(C136="","",IF(COUNTIF($C$2:C$215,J136)=1,C136,""))</f>
        <v/>
      </c>
    </row>
    <row r="137" spans="1:11" x14ac:dyDescent="0.25">
      <c r="A137">
        <v>35</v>
      </c>
      <c r="B137" t="s">
        <v>284</v>
      </c>
      <c r="C137" s="2" t="s">
        <v>285</v>
      </c>
      <c r="D137" t="s">
        <v>132</v>
      </c>
      <c r="E137">
        <v>1</v>
      </c>
      <c r="F137" t="s">
        <v>11</v>
      </c>
      <c r="G137" t="s">
        <v>12</v>
      </c>
      <c r="H137">
        <v>4.7</v>
      </c>
      <c r="I137">
        <v>82</v>
      </c>
      <c r="K137" t="str">
        <f>IF(C137="","",IF(COUNTIF($C$2:C$215,J137)=1,C137,""))</f>
        <v/>
      </c>
    </row>
    <row r="138" spans="1:11" x14ac:dyDescent="0.25">
      <c r="A138">
        <v>36</v>
      </c>
      <c r="B138" t="s">
        <v>286</v>
      </c>
      <c r="C138" s="2" t="s">
        <v>287</v>
      </c>
      <c r="D138" t="s">
        <v>15</v>
      </c>
      <c r="E138">
        <v>1</v>
      </c>
      <c r="F138" t="s">
        <v>11</v>
      </c>
      <c r="G138" t="s">
        <v>12</v>
      </c>
      <c r="H138">
        <v>4.5</v>
      </c>
      <c r="I138">
        <v>427</v>
      </c>
      <c r="K138" t="str">
        <f>IF(C138="","",IF(COUNTIF($C$2:C$215,J138)=1,C138,""))</f>
        <v/>
      </c>
    </row>
    <row r="139" spans="1:11" x14ac:dyDescent="0.25">
      <c r="A139">
        <v>37</v>
      </c>
      <c r="B139" t="s">
        <v>288</v>
      </c>
      <c r="C139" s="2" t="s">
        <v>289</v>
      </c>
      <c r="D139" t="s">
        <v>15</v>
      </c>
      <c r="E139">
        <v>1</v>
      </c>
      <c r="F139" t="s">
        <v>11</v>
      </c>
      <c r="G139" t="s">
        <v>12</v>
      </c>
      <c r="H139">
        <v>4.5999999999999996</v>
      </c>
      <c r="I139">
        <v>244</v>
      </c>
      <c r="K139" t="str">
        <f>IF(C139="","",IF(COUNTIF($C$2:C$215,J139)=1,C139,""))</f>
        <v/>
      </c>
    </row>
    <row r="140" spans="1:11" x14ac:dyDescent="0.25">
      <c r="A140">
        <v>38</v>
      </c>
      <c r="B140" t="s">
        <v>290</v>
      </c>
      <c r="C140" s="2" t="s">
        <v>291</v>
      </c>
      <c r="D140" t="s">
        <v>15</v>
      </c>
      <c r="E140">
        <v>1</v>
      </c>
      <c r="F140" t="s">
        <v>11</v>
      </c>
      <c r="G140" t="s">
        <v>12</v>
      </c>
      <c r="H140">
        <v>4.4000000000000004</v>
      </c>
      <c r="I140">
        <v>389</v>
      </c>
      <c r="K140" t="str">
        <f>IF(C140="","",IF(COUNTIF($C$2:C$215,J140)=1,C140,""))</f>
        <v/>
      </c>
    </row>
    <row r="141" spans="1:11" x14ac:dyDescent="0.25">
      <c r="A141">
        <v>39</v>
      </c>
      <c r="B141" t="s">
        <v>292</v>
      </c>
      <c r="C141" s="2" t="s">
        <v>293</v>
      </c>
      <c r="D141" t="s">
        <v>10</v>
      </c>
      <c r="E141">
        <v>1</v>
      </c>
      <c r="F141" t="s">
        <v>11</v>
      </c>
      <c r="G141" t="s">
        <v>12</v>
      </c>
      <c r="H141">
        <v>4.4000000000000004</v>
      </c>
      <c r="I141">
        <v>762</v>
      </c>
      <c r="K141" t="str">
        <f>IF(C141="","",IF(COUNTIF($C$2:C$215,J141)=1,C141,""))</f>
        <v/>
      </c>
    </row>
    <row r="142" spans="1:11" x14ac:dyDescent="0.25">
      <c r="A142">
        <v>40</v>
      </c>
      <c r="B142" t="s">
        <v>294</v>
      </c>
      <c r="C142" s="2" t="s">
        <v>295</v>
      </c>
      <c r="D142" t="s">
        <v>10</v>
      </c>
      <c r="E142">
        <v>1</v>
      </c>
      <c r="F142" t="s">
        <v>11</v>
      </c>
      <c r="G142" t="s">
        <v>12</v>
      </c>
      <c r="H142">
        <v>4.4000000000000004</v>
      </c>
      <c r="I142">
        <v>468</v>
      </c>
      <c r="K142" t="str">
        <f>IF(C142="","",IF(COUNTIF($C$2:C$215,J142)=1,C142,""))</f>
        <v/>
      </c>
    </row>
    <row r="143" spans="1:11" x14ac:dyDescent="0.25">
      <c r="A143">
        <v>41</v>
      </c>
      <c r="B143" t="s">
        <v>296</v>
      </c>
      <c r="C143" s="2" t="s">
        <v>297</v>
      </c>
      <c r="D143" t="s">
        <v>15</v>
      </c>
      <c r="E143">
        <v>1</v>
      </c>
      <c r="F143" t="s">
        <v>11</v>
      </c>
      <c r="G143" t="s">
        <v>12</v>
      </c>
      <c r="H143">
        <v>4.5</v>
      </c>
      <c r="I143">
        <v>27</v>
      </c>
      <c r="K143" t="str">
        <f>IF(C143="","",IF(COUNTIF($C$2:C$215,J143)=1,C143,""))</f>
        <v/>
      </c>
    </row>
    <row r="144" spans="1:11" x14ac:dyDescent="0.25">
      <c r="A144">
        <v>42</v>
      </c>
      <c r="B144" t="s">
        <v>298</v>
      </c>
      <c r="C144" s="2" t="s">
        <v>299</v>
      </c>
      <c r="D144" t="s">
        <v>10</v>
      </c>
      <c r="E144">
        <v>1</v>
      </c>
      <c r="F144" t="s">
        <v>11</v>
      </c>
      <c r="G144" t="s">
        <v>12</v>
      </c>
      <c r="H144">
        <v>4.5999999999999996</v>
      </c>
      <c r="I144">
        <v>274</v>
      </c>
      <c r="K144" t="str">
        <f>IF(C144="","",IF(COUNTIF($C$2:C$215,J144)=1,C144,""))</f>
        <v/>
      </c>
    </row>
    <row r="145" spans="1:11" x14ac:dyDescent="0.25">
      <c r="A145">
        <v>43</v>
      </c>
      <c r="B145" t="s">
        <v>300</v>
      </c>
      <c r="C145" s="2" t="s">
        <v>301</v>
      </c>
      <c r="D145" t="s">
        <v>132</v>
      </c>
      <c r="E145">
        <v>1</v>
      </c>
      <c r="F145" t="s">
        <v>11</v>
      </c>
      <c r="G145" t="s">
        <v>12</v>
      </c>
      <c r="H145">
        <v>4.4000000000000004</v>
      </c>
      <c r="I145">
        <v>122</v>
      </c>
      <c r="K145" t="str">
        <f>IF(C145="","",IF(COUNTIF($C$2:C$215,J145)=1,C145,""))</f>
        <v/>
      </c>
    </row>
    <row r="146" spans="1:11" x14ac:dyDescent="0.25">
      <c r="A146">
        <v>44</v>
      </c>
      <c r="B146" t="s">
        <v>302</v>
      </c>
      <c r="C146" s="2" t="s">
        <v>303</v>
      </c>
      <c r="D146" t="s">
        <v>10</v>
      </c>
      <c r="E146">
        <v>1</v>
      </c>
      <c r="F146" t="s">
        <v>11</v>
      </c>
      <c r="G146" t="s">
        <v>12</v>
      </c>
      <c r="H146">
        <v>4.7</v>
      </c>
      <c r="I146">
        <v>117</v>
      </c>
      <c r="K146" t="str">
        <f>IF(C146="","",IF(COUNTIF($C$2:C$215,J146)=1,C146,""))</f>
        <v/>
      </c>
    </row>
    <row r="147" spans="1:11" x14ac:dyDescent="0.25">
      <c r="A147">
        <v>45</v>
      </c>
      <c r="B147" t="s">
        <v>304</v>
      </c>
      <c r="C147" s="2" t="s">
        <v>305</v>
      </c>
      <c r="D147" t="s">
        <v>10</v>
      </c>
      <c r="E147">
        <v>1</v>
      </c>
      <c r="F147" t="s">
        <v>11</v>
      </c>
      <c r="G147" t="s">
        <v>12</v>
      </c>
      <c r="H147">
        <v>4.5999999999999996</v>
      </c>
      <c r="I147">
        <v>43</v>
      </c>
      <c r="K147" t="str">
        <f>IF(C147="","",IF(COUNTIF($C$2:C$215,J147)=1,C147,""))</f>
        <v/>
      </c>
    </row>
    <row r="148" spans="1:11" x14ac:dyDescent="0.25">
      <c r="A148">
        <v>46</v>
      </c>
      <c r="B148" t="s">
        <v>306</v>
      </c>
      <c r="C148" s="2" t="s">
        <v>307</v>
      </c>
      <c r="D148" t="s">
        <v>10</v>
      </c>
      <c r="E148">
        <v>1</v>
      </c>
      <c r="F148" t="s">
        <v>11</v>
      </c>
      <c r="G148" t="s">
        <v>12</v>
      </c>
      <c r="H148">
        <v>4.5</v>
      </c>
      <c r="I148">
        <v>370</v>
      </c>
      <c r="K148" t="str">
        <f>IF(C148="","",IF(COUNTIF($C$2:C$215,J148)=1,C148,""))</f>
        <v/>
      </c>
    </row>
    <row r="149" spans="1:11" x14ac:dyDescent="0.25">
      <c r="A149">
        <v>47</v>
      </c>
      <c r="B149" t="s">
        <v>308</v>
      </c>
      <c r="C149" s="2" t="s">
        <v>309</v>
      </c>
      <c r="D149" t="s">
        <v>15</v>
      </c>
      <c r="E149">
        <v>1</v>
      </c>
      <c r="F149" t="s">
        <v>11</v>
      </c>
      <c r="G149" t="s">
        <v>12</v>
      </c>
      <c r="H149">
        <v>4.5999999999999996</v>
      </c>
      <c r="I149">
        <v>28</v>
      </c>
      <c r="K149" t="str">
        <f>IF(C149="","",IF(COUNTIF($C$2:C$215,J149)=1,C149,""))</f>
        <v/>
      </c>
    </row>
    <row r="150" spans="1:11" x14ac:dyDescent="0.25">
      <c r="A150">
        <v>48</v>
      </c>
      <c r="B150" t="s">
        <v>310</v>
      </c>
      <c r="C150" s="2" t="s">
        <v>311</v>
      </c>
      <c r="D150" t="s">
        <v>10</v>
      </c>
      <c r="E150">
        <v>1</v>
      </c>
      <c r="F150" t="s">
        <v>11</v>
      </c>
      <c r="G150" t="s">
        <v>12</v>
      </c>
      <c r="H150">
        <v>4</v>
      </c>
      <c r="I150">
        <v>304</v>
      </c>
      <c r="K150" t="str">
        <f>IF(C150="","",IF(COUNTIF($C$2:C$215,J150)=1,C150,""))</f>
        <v/>
      </c>
    </row>
    <row r="151" spans="1:11" x14ac:dyDescent="0.25">
      <c r="A151">
        <v>49</v>
      </c>
      <c r="B151" t="s">
        <v>312</v>
      </c>
      <c r="C151" s="2" t="s">
        <v>313</v>
      </c>
      <c r="D151" t="s">
        <v>15</v>
      </c>
      <c r="E151">
        <v>1</v>
      </c>
      <c r="F151" t="s">
        <v>11</v>
      </c>
      <c r="G151" t="s">
        <v>12</v>
      </c>
      <c r="H151">
        <v>4.7</v>
      </c>
      <c r="I151">
        <v>49</v>
      </c>
      <c r="K151" t="str">
        <f>IF(C151="","",IF(COUNTIF($C$2:C$215,J151)=1,C151,""))</f>
        <v/>
      </c>
    </row>
    <row r="152" spans="1:11" x14ac:dyDescent="0.25">
      <c r="A152">
        <v>50</v>
      </c>
      <c r="B152" t="s">
        <v>314</v>
      </c>
      <c r="C152" s="2" t="s">
        <v>315</v>
      </c>
      <c r="D152" t="s">
        <v>15</v>
      </c>
      <c r="E152">
        <v>1</v>
      </c>
      <c r="F152" t="s">
        <v>11</v>
      </c>
      <c r="G152" t="s">
        <v>12</v>
      </c>
      <c r="H152">
        <v>4.8</v>
      </c>
      <c r="I152">
        <v>18</v>
      </c>
      <c r="K152" t="str">
        <f>IF(C152="","",IF(COUNTIF($C$2:C$215,J152)=1,C152,""))</f>
        <v/>
      </c>
    </row>
    <row r="153" spans="1:11" x14ac:dyDescent="0.25">
      <c r="A153">
        <v>51</v>
      </c>
      <c r="B153" t="s">
        <v>316</v>
      </c>
      <c r="C153" s="2" t="s">
        <v>317</v>
      </c>
      <c r="D153" t="s">
        <v>10</v>
      </c>
      <c r="E153">
        <v>1</v>
      </c>
      <c r="F153" t="s">
        <v>11</v>
      </c>
      <c r="G153" t="s">
        <v>12</v>
      </c>
      <c r="H153">
        <v>4.7</v>
      </c>
      <c r="I153">
        <v>188</v>
      </c>
      <c r="K153" t="str">
        <f>IF(C153="","",IF(COUNTIF($C$2:C$215,J153)=1,C153,""))</f>
        <v/>
      </c>
    </row>
    <row r="154" spans="1:11" x14ac:dyDescent="0.25">
      <c r="A154">
        <v>52</v>
      </c>
      <c r="B154" t="s">
        <v>318</v>
      </c>
      <c r="C154" s="2" t="s">
        <v>319</v>
      </c>
      <c r="D154" t="s">
        <v>10</v>
      </c>
      <c r="E154">
        <v>1</v>
      </c>
      <c r="F154" t="s">
        <v>11</v>
      </c>
      <c r="G154" t="s">
        <v>12</v>
      </c>
      <c r="H154">
        <v>4.7</v>
      </c>
      <c r="I154">
        <v>48</v>
      </c>
      <c r="K154" t="str">
        <f>IF(C154="","",IF(COUNTIF($C$2:C$215,J154)=1,C154,""))</f>
        <v/>
      </c>
    </row>
    <row r="155" spans="1:11" x14ac:dyDescent="0.25">
      <c r="A155">
        <v>53</v>
      </c>
      <c r="B155" t="s">
        <v>320</v>
      </c>
      <c r="C155" s="2" t="s">
        <v>321</v>
      </c>
      <c r="D155" t="s">
        <v>132</v>
      </c>
      <c r="E155">
        <v>1</v>
      </c>
      <c r="F155" t="s">
        <v>11</v>
      </c>
      <c r="G155" t="s">
        <v>12</v>
      </c>
      <c r="H155">
        <v>4.8</v>
      </c>
      <c r="I155">
        <v>33</v>
      </c>
      <c r="K155" t="str">
        <f>IF(C155="","",IF(COUNTIF($C$2:C$215,J155)=1,C155,""))</f>
        <v/>
      </c>
    </row>
    <row r="156" spans="1:11" x14ac:dyDescent="0.25">
      <c r="A156">
        <v>54</v>
      </c>
      <c r="B156" t="s">
        <v>322</v>
      </c>
      <c r="C156" s="2" t="s">
        <v>323</v>
      </c>
      <c r="D156" t="s">
        <v>10</v>
      </c>
      <c r="E156">
        <v>1</v>
      </c>
      <c r="F156" t="s">
        <v>11</v>
      </c>
      <c r="G156" t="s">
        <v>12</v>
      </c>
      <c r="H156">
        <v>4.4000000000000004</v>
      </c>
      <c r="I156">
        <v>34</v>
      </c>
      <c r="K156" t="str">
        <f>IF(C156="","",IF(COUNTIF($C$2:C$215,J156)=1,C156,""))</f>
        <v/>
      </c>
    </row>
    <row r="157" spans="1:11" x14ac:dyDescent="0.25">
      <c r="A157">
        <v>55</v>
      </c>
      <c r="B157" t="s">
        <v>324</v>
      </c>
      <c r="C157" s="2" t="s">
        <v>325</v>
      </c>
      <c r="D157" t="s">
        <v>10</v>
      </c>
      <c r="E157">
        <v>1</v>
      </c>
      <c r="F157" t="s">
        <v>11</v>
      </c>
      <c r="G157" t="s">
        <v>12</v>
      </c>
      <c r="H157">
        <v>4.5</v>
      </c>
      <c r="I157">
        <v>209</v>
      </c>
      <c r="K157" t="str">
        <f>IF(C157="","",IF(COUNTIF($C$2:C$215,J157)=1,C157,""))</f>
        <v/>
      </c>
    </row>
    <row r="158" spans="1:11" x14ac:dyDescent="0.25">
      <c r="A158">
        <v>56</v>
      </c>
      <c r="B158" t="s">
        <v>326</v>
      </c>
      <c r="C158" s="2" t="s">
        <v>327</v>
      </c>
      <c r="D158" t="s">
        <v>132</v>
      </c>
      <c r="E158">
        <v>1</v>
      </c>
      <c r="F158" t="s">
        <v>11</v>
      </c>
      <c r="G158" t="s">
        <v>12</v>
      </c>
      <c r="H158">
        <v>4.4000000000000004</v>
      </c>
      <c r="I158">
        <v>287</v>
      </c>
      <c r="K158" t="str">
        <f>IF(C158="","",IF(COUNTIF($C$2:C$215,J158)=1,C158,""))</f>
        <v/>
      </c>
    </row>
    <row r="159" spans="1:11" x14ac:dyDescent="0.25">
      <c r="A159">
        <v>57</v>
      </c>
      <c r="B159" t="s">
        <v>328</v>
      </c>
      <c r="C159" s="2" t="s">
        <v>329</v>
      </c>
      <c r="D159" t="s">
        <v>15</v>
      </c>
      <c r="E159">
        <v>1</v>
      </c>
      <c r="F159" t="s">
        <v>11</v>
      </c>
      <c r="G159" t="s">
        <v>12</v>
      </c>
      <c r="H159">
        <v>4.5999999999999996</v>
      </c>
      <c r="I159">
        <v>391</v>
      </c>
      <c r="K159" t="str">
        <f>IF(C159="","",IF(COUNTIF($C$2:C$215,J159)=1,C159,""))</f>
        <v/>
      </c>
    </row>
    <row r="160" spans="1:11" x14ac:dyDescent="0.25">
      <c r="A160">
        <v>58</v>
      </c>
      <c r="B160" t="s">
        <v>330</v>
      </c>
      <c r="C160" s="2" t="s">
        <v>331</v>
      </c>
      <c r="D160" t="s">
        <v>10</v>
      </c>
      <c r="E160">
        <v>1</v>
      </c>
      <c r="F160" t="s">
        <v>11</v>
      </c>
      <c r="G160" t="s">
        <v>12</v>
      </c>
      <c r="H160">
        <v>4.5999999999999996</v>
      </c>
      <c r="I160">
        <v>18</v>
      </c>
      <c r="K160" t="str">
        <f>IF(C160="","",IF(COUNTIF($C$2:C$215,J160)=1,C160,""))</f>
        <v/>
      </c>
    </row>
    <row r="161" spans="1:11" x14ac:dyDescent="0.25">
      <c r="A161">
        <v>59</v>
      </c>
      <c r="B161" t="s">
        <v>332</v>
      </c>
      <c r="C161" s="2" t="s">
        <v>333</v>
      </c>
      <c r="D161" t="s">
        <v>15</v>
      </c>
      <c r="E161">
        <v>1</v>
      </c>
      <c r="F161" t="s">
        <v>11</v>
      </c>
      <c r="G161" t="s">
        <v>12</v>
      </c>
      <c r="H161">
        <v>4.5</v>
      </c>
      <c r="I161">
        <v>224</v>
      </c>
      <c r="K161" t="str">
        <f>IF(C161="","",IF(COUNTIF($C$2:C$215,J161)=1,C161,""))</f>
        <v/>
      </c>
    </row>
    <row r="162" spans="1:11" x14ac:dyDescent="0.25">
      <c r="A162">
        <v>60</v>
      </c>
      <c r="B162" t="s">
        <v>334</v>
      </c>
      <c r="C162" s="2" t="s">
        <v>335</v>
      </c>
      <c r="D162" t="s">
        <v>10</v>
      </c>
      <c r="E162">
        <v>1</v>
      </c>
      <c r="F162" t="s">
        <v>11</v>
      </c>
      <c r="G162" t="s">
        <v>12</v>
      </c>
      <c r="H162">
        <v>4.5999999999999996</v>
      </c>
      <c r="I162">
        <v>79</v>
      </c>
      <c r="K162" t="str">
        <f>IF(C162="","",IF(COUNTIF($C$2:C$215,J162)=1,C162,""))</f>
        <v/>
      </c>
    </row>
    <row r="163" spans="1:11" x14ac:dyDescent="0.25">
      <c r="A163">
        <v>61</v>
      </c>
      <c r="B163" t="s">
        <v>336</v>
      </c>
      <c r="C163" s="2" t="s">
        <v>337</v>
      </c>
      <c r="D163" t="s">
        <v>10</v>
      </c>
      <c r="E163">
        <v>1</v>
      </c>
      <c r="F163" t="s">
        <v>11</v>
      </c>
      <c r="G163" t="s">
        <v>12</v>
      </c>
      <c r="H163">
        <v>4.5</v>
      </c>
      <c r="I163">
        <v>157</v>
      </c>
      <c r="K163" t="str">
        <f>IF(C163="","",IF(COUNTIF($C$2:C$215,J163)=1,C163,""))</f>
        <v/>
      </c>
    </row>
    <row r="164" spans="1:11" x14ac:dyDescent="0.25">
      <c r="A164">
        <v>62</v>
      </c>
      <c r="B164" t="s">
        <v>338</v>
      </c>
      <c r="C164" s="2" t="s">
        <v>339</v>
      </c>
      <c r="D164" t="s">
        <v>10</v>
      </c>
      <c r="E164">
        <v>1</v>
      </c>
      <c r="F164" t="s">
        <v>11</v>
      </c>
      <c r="G164" t="s">
        <v>12</v>
      </c>
      <c r="H164">
        <v>3.6</v>
      </c>
      <c r="I164">
        <v>21</v>
      </c>
      <c r="K164" t="str">
        <f>IF(C164="","",IF(COUNTIF($C$2:C$215,J164)=1,C164,""))</f>
        <v/>
      </c>
    </row>
    <row r="165" spans="1:11" x14ac:dyDescent="0.25">
      <c r="A165">
        <v>63</v>
      </c>
      <c r="B165" t="s">
        <v>340</v>
      </c>
      <c r="C165" s="2" t="s">
        <v>341</v>
      </c>
      <c r="D165" t="s">
        <v>15</v>
      </c>
      <c r="E165">
        <v>1</v>
      </c>
      <c r="F165" t="s">
        <v>11</v>
      </c>
      <c r="G165" t="s">
        <v>12</v>
      </c>
      <c r="H165">
        <v>4.4000000000000004</v>
      </c>
      <c r="I165">
        <v>27</v>
      </c>
      <c r="K165" t="str">
        <f>IF(C165="","",IF(COUNTIF($C$2:C$215,J165)=1,C165,""))</f>
        <v/>
      </c>
    </row>
    <row r="166" spans="1:11" x14ac:dyDescent="0.25">
      <c r="A166">
        <v>64</v>
      </c>
      <c r="B166" t="s">
        <v>342</v>
      </c>
      <c r="C166" s="2" t="s">
        <v>343</v>
      </c>
      <c r="D166" t="s">
        <v>10</v>
      </c>
      <c r="E166">
        <v>1</v>
      </c>
      <c r="F166" t="s">
        <v>11</v>
      </c>
      <c r="G166" t="s">
        <v>12</v>
      </c>
      <c r="H166">
        <v>4.4000000000000004</v>
      </c>
      <c r="I166">
        <v>238</v>
      </c>
      <c r="K166" t="str">
        <f>IF(C166="","",IF(COUNTIF($C$2:C$215,J166)=1,C166,""))</f>
        <v/>
      </c>
    </row>
    <row r="167" spans="1:11" x14ac:dyDescent="0.25">
      <c r="A167">
        <v>65</v>
      </c>
      <c r="B167" t="s">
        <v>344</v>
      </c>
      <c r="C167" s="2" t="s">
        <v>345</v>
      </c>
      <c r="D167" t="s">
        <v>15</v>
      </c>
      <c r="E167">
        <v>1</v>
      </c>
      <c r="F167" t="s">
        <v>11</v>
      </c>
      <c r="G167" t="s">
        <v>12</v>
      </c>
      <c r="H167">
        <v>4.7</v>
      </c>
      <c r="I167">
        <v>61</v>
      </c>
      <c r="K167" t="str">
        <f>IF(C167="","",IF(COUNTIF($C$2:C$215,J167)=1,C167,""))</f>
        <v/>
      </c>
    </row>
    <row r="168" spans="1:11" x14ac:dyDescent="0.25">
      <c r="A168">
        <v>66</v>
      </c>
      <c r="B168" t="s">
        <v>346</v>
      </c>
      <c r="C168" s="2" t="s">
        <v>347</v>
      </c>
      <c r="D168" t="s">
        <v>10</v>
      </c>
      <c r="E168">
        <v>1</v>
      </c>
      <c r="F168" t="s">
        <v>11</v>
      </c>
      <c r="G168" t="s">
        <v>12</v>
      </c>
      <c r="H168">
        <v>4.5999999999999996</v>
      </c>
      <c r="I168">
        <v>227</v>
      </c>
      <c r="K168" t="str">
        <f>IF(C168="","",IF(COUNTIF($C$2:C$215,J168)=1,C168,""))</f>
        <v/>
      </c>
    </row>
    <row r="169" spans="1:11" x14ac:dyDescent="0.25">
      <c r="A169">
        <v>67</v>
      </c>
      <c r="B169" t="s">
        <v>348</v>
      </c>
      <c r="C169" s="2" t="s">
        <v>349</v>
      </c>
      <c r="D169" t="s">
        <v>10</v>
      </c>
      <c r="E169">
        <v>1</v>
      </c>
      <c r="F169" t="s">
        <v>11</v>
      </c>
      <c r="G169" t="s">
        <v>12</v>
      </c>
      <c r="H169">
        <v>4.5999999999999996</v>
      </c>
      <c r="I169">
        <v>107</v>
      </c>
      <c r="K169" t="str">
        <f>IF(C169="","",IF(COUNTIF($C$2:C$215,J169)=1,C169,""))</f>
        <v/>
      </c>
    </row>
    <row r="170" spans="1:11" x14ac:dyDescent="0.25">
      <c r="A170">
        <v>68</v>
      </c>
      <c r="B170" t="s">
        <v>350</v>
      </c>
      <c r="C170" s="2" t="s">
        <v>351</v>
      </c>
      <c r="D170" t="s">
        <v>10</v>
      </c>
      <c r="E170">
        <v>1</v>
      </c>
      <c r="F170" t="s">
        <v>11</v>
      </c>
      <c r="G170" t="s">
        <v>12</v>
      </c>
      <c r="H170">
        <v>4.5999999999999996</v>
      </c>
      <c r="I170">
        <v>186</v>
      </c>
      <c r="K170" t="str">
        <f>IF(C170="","",IF(COUNTIF($C$2:C$215,J170)=1,C170,""))</f>
        <v/>
      </c>
    </row>
    <row r="171" spans="1:11" x14ac:dyDescent="0.25">
      <c r="A171">
        <v>69</v>
      </c>
      <c r="B171" t="s">
        <v>352</v>
      </c>
      <c r="C171" s="2" t="s">
        <v>353</v>
      </c>
      <c r="D171" t="s">
        <v>10</v>
      </c>
      <c r="E171">
        <v>1</v>
      </c>
      <c r="F171" t="s">
        <v>11</v>
      </c>
      <c r="G171" t="s">
        <v>12</v>
      </c>
      <c r="H171">
        <v>4.4000000000000004</v>
      </c>
      <c r="I171">
        <v>174</v>
      </c>
      <c r="K171" t="str">
        <f>IF(C171="","",IF(COUNTIF($C$2:C$215,J171)=1,C171,""))</f>
        <v/>
      </c>
    </row>
    <row r="172" spans="1:11" x14ac:dyDescent="0.25">
      <c r="A172">
        <v>70</v>
      </c>
      <c r="B172" t="s">
        <v>354</v>
      </c>
      <c r="C172" s="2" t="s">
        <v>355</v>
      </c>
      <c r="D172" t="s">
        <v>10</v>
      </c>
      <c r="E172">
        <v>1</v>
      </c>
      <c r="F172" t="s">
        <v>11</v>
      </c>
      <c r="G172" t="s">
        <v>12</v>
      </c>
      <c r="H172">
        <v>4.5</v>
      </c>
      <c r="I172">
        <v>150</v>
      </c>
      <c r="K172" t="str">
        <f>IF(C172="","",IF(COUNTIF($C$2:C$215,J172)=1,C172,""))</f>
        <v/>
      </c>
    </row>
    <row r="173" spans="1:11" x14ac:dyDescent="0.25">
      <c r="A173">
        <v>71</v>
      </c>
      <c r="B173" t="s">
        <v>356</v>
      </c>
      <c r="C173" s="2" t="s">
        <v>357</v>
      </c>
      <c r="D173" t="s">
        <v>10</v>
      </c>
      <c r="E173">
        <v>1</v>
      </c>
      <c r="F173" t="s">
        <v>11</v>
      </c>
      <c r="G173" t="s">
        <v>12</v>
      </c>
      <c r="H173">
        <v>4.7</v>
      </c>
      <c r="I173">
        <v>61</v>
      </c>
      <c r="K173" t="str">
        <f>IF(C173="","",IF(COUNTIF($C$2:C$215,J173)=1,C173,""))</f>
        <v/>
      </c>
    </row>
    <row r="174" spans="1:11" x14ac:dyDescent="0.25">
      <c r="A174">
        <v>72</v>
      </c>
      <c r="B174" t="s">
        <v>358</v>
      </c>
      <c r="C174" s="2" t="s">
        <v>359</v>
      </c>
      <c r="D174" t="s">
        <v>15</v>
      </c>
      <c r="E174">
        <v>1</v>
      </c>
      <c r="F174" t="s">
        <v>11</v>
      </c>
      <c r="G174" t="s">
        <v>12</v>
      </c>
      <c r="H174">
        <v>4.5</v>
      </c>
      <c r="I174">
        <v>288</v>
      </c>
      <c r="K174" t="str">
        <f>IF(C174="","",IF(COUNTIF($C$2:C$215,J174)=1,C174,""))</f>
        <v/>
      </c>
    </row>
    <row r="175" spans="1:11" x14ac:dyDescent="0.25">
      <c r="A175">
        <v>73</v>
      </c>
      <c r="B175" t="s">
        <v>360</v>
      </c>
      <c r="C175" s="2" t="s">
        <v>361</v>
      </c>
      <c r="D175" t="s">
        <v>10</v>
      </c>
      <c r="E175">
        <v>1</v>
      </c>
      <c r="F175" t="s">
        <v>11</v>
      </c>
      <c r="G175" t="s">
        <v>12</v>
      </c>
      <c r="H175">
        <v>4.5</v>
      </c>
      <c r="I175">
        <v>369</v>
      </c>
      <c r="K175" t="str">
        <f>IF(C175="","",IF(COUNTIF($C$2:C$215,J175)=1,C175,""))</f>
        <v/>
      </c>
    </row>
    <row r="176" spans="1:11" x14ac:dyDescent="0.25">
      <c r="A176">
        <v>74</v>
      </c>
      <c r="B176" t="s">
        <v>362</v>
      </c>
      <c r="C176" s="2" t="s">
        <v>363</v>
      </c>
      <c r="D176" t="s">
        <v>10</v>
      </c>
      <c r="E176">
        <v>1</v>
      </c>
      <c r="F176" t="s">
        <v>11</v>
      </c>
      <c r="G176" t="s">
        <v>12</v>
      </c>
      <c r="H176">
        <v>4.5</v>
      </c>
      <c r="I176">
        <v>219</v>
      </c>
      <c r="K176" t="str">
        <f>IF(C176="","",IF(COUNTIF($C$2:C$215,J176)=1,C176,""))</f>
        <v/>
      </c>
    </row>
    <row r="177" spans="1:11" x14ac:dyDescent="0.25">
      <c r="A177">
        <v>75</v>
      </c>
      <c r="B177" t="s">
        <v>364</v>
      </c>
      <c r="C177" s="2" t="s">
        <v>365</v>
      </c>
      <c r="D177" t="s">
        <v>15</v>
      </c>
      <c r="E177">
        <v>1</v>
      </c>
      <c r="F177" t="s">
        <v>11</v>
      </c>
      <c r="G177" t="s">
        <v>12</v>
      </c>
      <c r="H177">
        <v>4.7</v>
      </c>
      <c r="I177">
        <v>1396</v>
      </c>
      <c r="K177" t="str">
        <f>IF(C177="","",IF(COUNTIF($C$2:C$215,J177)=1,C177,""))</f>
        <v/>
      </c>
    </row>
    <row r="178" spans="1:11" x14ac:dyDescent="0.25">
      <c r="A178">
        <v>76</v>
      </c>
      <c r="B178" t="s">
        <v>366</v>
      </c>
      <c r="C178" s="2" t="s">
        <v>367</v>
      </c>
      <c r="D178" t="s">
        <v>10</v>
      </c>
      <c r="E178">
        <v>1</v>
      </c>
      <c r="F178" t="s">
        <v>11</v>
      </c>
      <c r="G178" t="s">
        <v>12</v>
      </c>
      <c r="H178">
        <v>4.5999999999999996</v>
      </c>
      <c r="I178">
        <v>124</v>
      </c>
      <c r="K178" t="str">
        <f>IF(C178="","",IF(COUNTIF($C$2:C$215,J178)=1,C178,""))</f>
        <v/>
      </c>
    </row>
    <row r="179" spans="1:11" x14ac:dyDescent="0.25">
      <c r="A179">
        <v>77</v>
      </c>
      <c r="B179" t="s">
        <v>368</v>
      </c>
      <c r="C179" s="2" t="s">
        <v>369</v>
      </c>
      <c r="D179" t="s">
        <v>10</v>
      </c>
      <c r="E179">
        <v>1</v>
      </c>
      <c r="F179" t="s">
        <v>11</v>
      </c>
      <c r="G179" t="s">
        <v>12</v>
      </c>
      <c r="H179">
        <v>4.8</v>
      </c>
      <c r="I179">
        <v>106</v>
      </c>
      <c r="K179" t="str">
        <f>IF(C179="","",IF(COUNTIF($C$2:C$215,J179)=1,C179,""))</f>
        <v/>
      </c>
    </row>
    <row r="180" spans="1:11" x14ac:dyDescent="0.25">
      <c r="A180">
        <v>78</v>
      </c>
      <c r="B180" t="s">
        <v>370</v>
      </c>
      <c r="C180" s="2" t="s">
        <v>371</v>
      </c>
      <c r="D180" t="s">
        <v>15</v>
      </c>
      <c r="E180">
        <v>1</v>
      </c>
      <c r="F180" t="s">
        <v>11</v>
      </c>
      <c r="G180" t="s">
        <v>12</v>
      </c>
      <c r="H180">
        <v>4.9000000000000004</v>
      </c>
      <c r="I180">
        <v>10</v>
      </c>
      <c r="K180" t="str">
        <f>IF(C180="","",IF(COUNTIF($C$2:C$215,J180)=1,C180,""))</f>
        <v/>
      </c>
    </row>
    <row r="181" spans="1:11" x14ac:dyDescent="0.25">
      <c r="A181">
        <v>79</v>
      </c>
      <c r="B181" t="s">
        <v>372</v>
      </c>
      <c r="C181" s="2" t="s">
        <v>373</v>
      </c>
      <c r="D181" t="s">
        <v>132</v>
      </c>
      <c r="E181">
        <v>1</v>
      </c>
      <c r="F181" t="s">
        <v>11</v>
      </c>
      <c r="G181" t="s">
        <v>12</v>
      </c>
      <c r="H181">
        <v>4.7</v>
      </c>
      <c r="I181">
        <v>69</v>
      </c>
      <c r="K181" t="str">
        <f>IF(C181="","",IF(COUNTIF($C$2:C$215,J181)=1,C181,""))</f>
        <v/>
      </c>
    </row>
    <row r="182" spans="1:11" x14ac:dyDescent="0.25">
      <c r="A182">
        <v>80</v>
      </c>
      <c r="B182" t="s">
        <v>374</v>
      </c>
      <c r="C182" s="2" t="s">
        <v>375</v>
      </c>
      <c r="D182" t="s">
        <v>10</v>
      </c>
      <c r="E182">
        <v>1</v>
      </c>
      <c r="F182" t="s">
        <v>11</v>
      </c>
      <c r="G182" t="s">
        <v>12</v>
      </c>
      <c r="H182">
        <v>4.5999999999999996</v>
      </c>
      <c r="I182">
        <v>64</v>
      </c>
      <c r="K182" t="str">
        <f>IF(C182="","",IF(COUNTIF($J$2:J$54,C182)&gt;1,C182,""))</f>
        <v/>
      </c>
    </row>
    <row r="183" spans="1:11" x14ac:dyDescent="0.25">
      <c r="A183">
        <v>81</v>
      </c>
      <c r="B183" t="s">
        <v>376</v>
      </c>
      <c r="C183" s="2" t="s">
        <v>377</v>
      </c>
      <c r="D183" t="s">
        <v>10</v>
      </c>
      <c r="E183">
        <v>1</v>
      </c>
      <c r="F183" t="s">
        <v>11</v>
      </c>
      <c r="G183" t="s">
        <v>12</v>
      </c>
      <c r="H183">
        <v>4.9000000000000004</v>
      </c>
      <c r="I183">
        <v>15</v>
      </c>
      <c r="K183" t="str">
        <f>IF(C183="","",IF(COUNTIF($J$2:J$54,C183)&gt;1,C183,""))</f>
        <v/>
      </c>
    </row>
    <row r="184" spans="1:11" x14ac:dyDescent="0.25">
      <c r="A184">
        <v>82</v>
      </c>
      <c r="B184" t="s">
        <v>378</v>
      </c>
      <c r="C184" s="2" t="s">
        <v>379</v>
      </c>
      <c r="D184" t="s">
        <v>10</v>
      </c>
      <c r="E184">
        <v>1</v>
      </c>
      <c r="F184" t="s">
        <v>11</v>
      </c>
      <c r="G184" t="s">
        <v>12</v>
      </c>
      <c r="H184">
        <v>4.3</v>
      </c>
      <c r="I184">
        <v>39</v>
      </c>
      <c r="K184" t="str">
        <f>IF(C184="","",IF(COUNTIF($J$2:J$54,C184)&gt;1,C184,""))</f>
        <v/>
      </c>
    </row>
    <row r="185" spans="1:11" x14ac:dyDescent="0.25">
      <c r="A185">
        <v>83</v>
      </c>
      <c r="B185" t="s">
        <v>380</v>
      </c>
      <c r="C185" s="2" t="s">
        <v>381</v>
      </c>
      <c r="D185" t="s">
        <v>10</v>
      </c>
      <c r="E185">
        <v>1</v>
      </c>
      <c r="F185" t="s">
        <v>11</v>
      </c>
      <c r="G185" t="s">
        <v>12</v>
      </c>
      <c r="H185">
        <v>4.5</v>
      </c>
      <c r="I185">
        <v>55</v>
      </c>
      <c r="K185" t="str">
        <f>IF(C185="","",IF(COUNTIF($J$2:J$54,C185)&gt;1,C185,""))</f>
        <v/>
      </c>
    </row>
    <row r="186" spans="1:11" x14ac:dyDescent="0.25">
      <c r="A186">
        <v>84</v>
      </c>
      <c r="B186" t="s">
        <v>382</v>
      </c>
      <c r="C186" s="2" t="s">
        <v>383</v>
      </c>
      <c r="D186" t="s">
        <v>15</v>
      </c>
      <c r="E186">
        <v>1</v>
      </c>
      <c r="F186" t="s">
        <v>11</v>
      </c>
      <c r="G186" t="s">
        <v>12</v>
      </c>
      <c r="H186">
        <v>4.5</v>
      </c>
      <c r="I186">
        <v>188</v>
      </c>
      <c r="K186" t="str">
        <f>IF(C186="","",IF(COUNTIF($J$2:J$54,C186)&gt;1,C186,""))</f>
        <v/>
      </c>
    </row>
    <row r="187" spans="1:11" x14ac:dyDescent="0.25">
      <c r="A187">
        <v>85</v>
      </c>
      <c r="B187" t="s">
        <v>384</v>
      </c>
      <c r="C187" s="2" t="s">
        <v>385</v>
      </c>
      <c r="D187" t="s">
        <v>15</v>
      </c>
      <c r="E187">
        <v>1</v>
      </c>
      <c r="F187" t="s">
        <v>11</v>
      </c>
      <c r="G187" t="s">
        <v>12</v>
      </c>
      <c r="H187">
        <v>4.5</v>
      </c>
      <c r="I187">
        <v>325</v>
      </c>
      <c r="K187" t="str">
        <f>IF(C187="","",IF(COUNTIF($J$2:J$54,C187)&gt;1,C187,""))</f>
        <v/>
      </c>
    </row>
    <row r="188" spans="1:11" x14ac:dyDescent="0.25">
      <c r="A188">
        <v>86</v>
      </c>
      <c r="B188" t="s">
        <v>386</v>
      </c>
      <c r="C188" s="2" t="s">
        <v>387</v>
      </c>
      <c r="D188" t="s">
        <v>10</v>
      </c>
      <c r="E188">
        <v>1</v>
      </c>
      <c r="F188" t="s">
        <v>11</v>
      </c>
      <c r="G188" t="s">
        <v>12</v>
      </c>
      <c r="H188">
        <v>4.5999999999999996</v>
      </c>
      <c r="I188">
        <v>165</v>
      </c>
      <c r="K188" t="str">
        <f>IF(C188="","",IF(COUNTIF($J$2:J$54,C188)&gt;1,C188,""))</f>
        <v/>
      </c>
    </row>
    <row r="189" spans="1:11" x14ac:dyDescent="0.25">
      <c r="A189">
        <v>87</v>
      </c>
      <c r="B189" t="s">
        <v>388</v>
      </c>
      <c r="C189" s="2" t="s">
        <v>389</v>
      </c>
      <c r="D189" t="s">
        <v>10</v>
      </c>
      <c r="E189">
        <v>1</v>
      </c>
      <c r="F189" t="s">
        <v>11</v>
      </c>
      <c r="G189" t="s">
        <v>12</v>
      </c>
      <c r="H189">
        <v>4.5</v>
      </c>
      <c r="I189">
        <v>85</v>
      </c>
      <c r="K189" t="str">
        <f>IF(C189="","",IF(COUNTIF($J$2:J$54,C189)&gt;1,C189,""))</f>
        <v/>
      </c>
    </row>
    <row r="190" spans="1:11" x14ac:dyDescent="0.25">
      <c r="A190">
        <v>88</v>
      </c>
      <c r="B190" t="s">
        <v>390</v>
      </c>
      <c r="C190" s="2" t="s">
        <v>391</v>
      </c>
      <c r="D190" t="s">
        <v>10</v>
      </c>
      <c r="E190">
        <v>1</v>
      </c>
      <c r="F190" t="s">
        <v>11</v>
      </c>
      <c r="G190" t="s">
        <v>12</v>
      </c>
      <c r="H190">
        <v>3.7</v>
      </c>
      <c r="I190">
        <v>12</v>
      </c>
      <c r="K190" t="str">
        <f>IF(C190="","",IF(COUNTIF($J$2:J$54,C190)&gt;1,C190,""))</f>
        <v/>
      </c>
    </row>
    <row r="191" spans="1:11" x14ac:dyDescent="0.25">
      <c r="A191">
        <v>89</v>
      </c>
      <c r="B191" t="s">
        <v>392</v>
      </c>
      <c r="C191" s="2" t="s">
        <v>393</v>
      </c>
      <c r="D191" t="s">
        <v>15</v>
      </c>
      <c r="E191">
        <v>1</v>
      </c>
      <c r="F191" t="s">
        <v>11</v>
      </c>
      <c r="G191" t="s">
        <v>12</v>
      </c>
      <c r="H191">
        <v>4.8</v>
      </c>
      <c r="I191">
        <v>36</v>
      </c>
      <c r="K191" t="str">
        <f>IF(C191="","",IF(COUNTIF($J$2:J$54,C191)&gt;1,C191,""))</f>
        <v/>
      </c>
    </row>
    <row r="192" spans="1:11" x14ac:dyDescent="0.25">
      <c r="A192">
        <v>90</v>
      </c>
      <c r="B192" t="s">
        <v>394</v>
      </c>
      <c r="C192" s="2" t="s">
        <v>395</v>
      </c>
      <c r="D192" t="s">
        <v>10</v>
      </c>
      <c r="E192">
        <v>1</v>
      </c>
      <c r="F192" t="s">
        <v>11</v>
      </c>
      <c r="G192" t="s">
        <v>12</v>
      </c>
      <c r="H192">
        <v>4.7</v>
      </c>
      <c r="I192">
        <v>89</v>
      </c>
      <c r="K192" t="str">
        <f>IF(C192="","",IF(COUNTIF($J$2:J$54,C192)&gt;1,C192,""))</f>
        <v/>
      </c>
    </row>
    <row r="193" spans="1:11" x14ac:dyDescent="0.25">
      <c r="A193">
        <v>91</v>
      </c>
      <c r="B193" t="s">
        <v>396</v>
      </c>
      <c r="C193" s="2" t="s">
        <v>397</v>
      </c>
      <c r="D193" t="s">
        <v>10</v>
      </c>
      <c r="E193">
        <v>1</v>
      </c>
      <c r="F193" t="s">
        <v>11</v>
      </c>
      <c r="G193" t="s">
        <v>12</v>
      </c>
      <c r="H193">
        <v>4.2</v>
      </c>
      <c r="I193">
        <v>33</v>
      </c>
      <c r="K193" t="str">
        <f>IF(C193="","",IF(COUNTIF($J$2:J$54,C193)&gt;1,C193,""))</f>
        <v/>
      </c>
    </row>
    <row r="194" spans="1:11" x14ac:dyDescent="0.25">
      <c r="A194">
        <v>92</v>
      </c>
      <c r="B194" t="s">
        <v>398</v>
      </c>
      <c r="C194" s="2" t="s">
        <v>399</v>
      </c>
      <c r="D194" t="s">
        <v>10</v>
      </c>
      <c r="E194">
        <v>2</v>
      </c>
      <c r="F194" t="s">
        <v>11</v>
      </c>
      <c r="G194" t="s">
        <v>12</v>
      </c>
      <c r="H194">
        <v>5</v>
      </c>
      <c r="I194">
        <v>3</v>
      </c>
      <c r="K194" t="str">
        <f>IF(C194="","",IF(COUNTIF($J$2:J$54,C194)&gt;1,C194,""))</f>
        <v/>
      </c>
    </row>
    <row r="195" spans="1:11" x14ac:dyDescent="0.25">
      <c r="A195">
        <v>93</v>
      </c>
      <c r="B195" t="s">
        <v>400</v>
      </c>
      <c r="C195" s="2" t="s">
        <v>401</v>
      </c>
      <c r="D195" t="s">
        <v>10</v>
      </c>
      <c r="E195">
        <v>1</v>
      </c>
      <c r="F195" t="s">
        <v>11</v>
      </c>
      <c r="G195" t="s">
        <v>12</v>
      </c>
      <c r="H195">
        <v>4.5</v>
      </c>
      <c r="I195">
        <v>98</v>
      </c>
      <c r="K195" t="str">
        <f>IF(C195="","",IF(COUNTIF($J$2:J$54,C195)&gt;1,C195,""))</f>
        <v/>
      </c>
    </row>
    <row r="196" spans="1:11" x14ac:dyDescent="0.25">
      <c r="A196">
        <v>94</v>
      </c>
      <c r="B196" t="s">
        <v>402</v>
      </c>
      <c r="C196" s="2" t="s">
        <v>403</v>
      </c>
      <c r="D196" t="s">
        <v>10</v>
      </c>
      <c r="E196">
        <v>1</v>
      </c>
      <c r="F196" t="s">
        <v>11</v>
      </c>
      <c r="G196" t="s">
        <v>12</v>
      </c>
      <c r="H196">
        <v>5</v>
      </c>
      <c r="I196">
        <v>6</v>
      </c>
      <c r="K196" t="str">
        <f>IF(C196="","",IF(COUNTIF($J$2:J$54,C196)&gt;1,C196,""))</f>
        <v/>
      </c>
    </row>
    <row r="197" spans="1:11" x14ac:dyDescent="0.25">
      <c r="A197">
        <v>95</v>
      </c>
      <c r="B197" t="s">
        <v>404</v>
      </c>
      <c r="C197" s="2" t="s">
        <v>405</v>
      </c>
      <c r="D197" t="s">
        <v>15</v>
      </c>
      <c r="E197">
        <v>1</v>
      </c>
      <c r="F197" t="s">
        <v>11</v>
      </c>
      <c r="G197" t="s">
        <v>12</v>
      </c>
      <c r="H197">
        <v>4.5999999999999996</v>
      </c>
      <c r="I197">
        <v>102</v>
      </c>
      <c r="K197" t="str">
        <f>IF(C197="","",IF(COUNTIF($J$2:J$54,C197)&gt;1,C197,""))</f>
        <v/>
      </c>
    </row>
    <row r="198" spans="1:11" x14ac:dyDescent="0.25">
      <c r="A198">
        <v>96</v>
      </c>
      <c r="B198" t="s">
        <v>406</v>
      </c>
      <c r="C198" s="2" t="s">
        <v>407</v>
      </c>
      <c r="D198" t="s">
        <v>10</v>
      </c>
      <c r="E198">
        <v>1</v>
      </c>
      <c r="F198" t="s">
        <v>11</v>
      </c>
      <c r="G198" t="s">
        <v>12</v>
      </c>
      <c r="H198">
        <v>4.5999999999999996</v>
      </c>
      <c r="I198">
        <v>135</v>
      </c>
      <c r="K198" t="str">
        <f>IF(C198="","",IF(COUNTIF($J$2:J$54,C198)&gt;1,C198,""))</f>
        <v/>
      </c>
    </row>
    <row r="199" spans="1:11" x14ac:dyDescent="0.25">
      <c r="A199">
        <v>97</v>
      </c>
      <c r="B199" t="s">
        <v>408</v>
      </c>
      <c r="C199" s="2" t="s">
        <v>409</v>
      </c>
      <c r="D199" t="s">
        <v>15</v>
      </c>
      <c r="E199">
        <v>1</v>
      </c>
      <c r="F199" t="s">
        <v>11</v>
      </c>
      <c r="G199" t="s">
        <v>12</v>
      </c>
      <c r="H199">
        <v>4.8</v>
      </c>
      <c r="I199">
        <v>104</v>
      </c>
      <c r="K199" t="str">
        <f>IF(C199="","",IF(COUNTIF($J$2:J$54,C199)&gt;1,C199,""))</f>
        <v/>
      </c>
    </row>
    <row r="200" spans="1:11" x14ac:dyDescent="0.25">
      <c r="A200">
        <v>98</v>
      </c>
      <c r="B200" t="s">
        <v>410</v>
      </c>
      <c r="C200" s="2" t="s">
        <v>411</v>
      </c>
      <c r="D200" t="s">
        <v>15</v>
      </c>
      <c r="E200">
        <v>1</v>
      </c>
      <c r="F200" t="s">
        <v>11</v>
      </c>
      <c r="G200" t="s">
        <v>12</v>
      </c>
      <c r="H200">
        <v>4.8</v>
      </c>
      <c r="I200">
        <v>49</v>
      </c>
      <c r="K200" t="str">
        <f>IF(C200="","",IF(COUNTIF($J$2:J$54,C200)&gt;1,C200,""))</f>
        <v/>
      </c>
    </row>
    <row r="201" spans="1:11" x14ac:dyDescent="0.25">
      <c r="A201">
        <v>99</v>
      </c>
      <c r="B201" t="s">
        <v>412</v>
      </c>
      <c r="C201" s="2" t="s">
        <v>413</v>
      </c>
      <c r="D201" t="s">
        <v>10</v>
      </c>
      <c r="E201">
        <v>1</v>
      </c>
      <c r="F201" t="s">
        <v>11</v>
      </c>
      <c r="G201" t="s">
        <v>12</v>
      </c>
      <c r="H201">
        <v>4.0999999999999996</v>
      </c>
      <c r="I201">
        <v>54</v>
      </c>
      <c r="K201" t="str">
        <f>IF(C201="","",IF(COUNTIF($J$2:J$54,C201)&gt;1,C201,""))</f>
        <v/>
      </c>
    </row>
    <row r="202" spans="1:11" x14ac:dyDescent="0.25">
      <c r="A202">
        <v>0</v>
      </c>
      <c r="B202" t="s">
        <v>211</v>
      </c>
      <c r="D202" t="s">
        <v>10</v>
      </c>
      <c r="E202">
        <v>1</v>
      </c>
      <c r="F202" t="s">
        <v>11</v>
      </c>
      <c r="G202" t="s">
        <v>12</v>
      </c>
      <c r="H202">
        <v>4.7</v>
      </c>
      <c r="I202">
        <v>63</v>
      </c>
      <c r="K202" t="str">
        <f>IF(C203="","",IF(COUNTIF($J$2:J$54,C203)&gt;1,C203,""))</f>
        <v/>
      </c>
    </row>
    <row r="203" spans="1:11" x14ac:dyDescent="0.25">
      <c r="A203">
        <v>1</v>
      </c>
      <c r="B203" t="s">
        <v>414</v>
      </c>
      <c r="C203" s="2" t="s">
        <v>415</v>
      </c>
      <c r="D203" t="s">
        <v>10</v>
      </c>
      <c r="E203">
        <v>2</v>
      </c>
      <c r="F203" t="s">
        <v>11</v>
      </c>
      <c r="G203" t="s">
        <v>12</v>
      </c>
      <c r="H203">
        <v>4</v>
      </c>
      <c r="I203">
        <v>10</v>
      </c>
      <c r="K203" t="str">
        <f>IF(C204="","",IF(COUNTIF($J$2:J$54,C204)&gt;1,C204,""))</f>
        <v/>
      </c>
    </row>
    <row r="204" spans="1:11" x14ac:dyDescent="0.25">
      <c r="A204">
        <v>2</v>
      </c>
      <c r="B204" t="s">
        <v>416</v>
      </c>
      <c r="C204" s="2" t="s">
        <v>417</v>
      </c>
      <c r="D204" t="s">
        <v>10</v>
      </c>
      <c r="E204">
        <v>1</v>
      </c>
      <c r="F204" t="s">
        <v>11</v>
      </c>
      <c r="G204" t="s">
        <v>12</v>
      </c>
      <c r="H204">
        <v>4.8</v>
      </c>
      <c r="I204">
        <v>57</v>
      </c>
      <c r="K204" t="str">
        <f>IF(C205="","",IF(COUNTIF($J$2:J$54,C205)&gt;1,C205,""))</f>
        <v/>
      </c>
    </row>
    <row r="205" spans="1:11" x14ac:dyDescent="0.25">
      <c r="A205">
        <v>3</v>
      </c>
      <c r="B205" t="s">
        <v>418</v>
      </c>
      <c r="C205" s="2" t="s">
        <v>419</v>
      </c>
      <c r="D205" t="s">
        <v>10</v>
      </c>
      <c r="E205">
        <v>1</v>
      </c>
      <c r="F205" t="s">
        <v>11</v>
      </c>
      <c r="G205" t="s">
        <v>12</v>
      </c>
      <c r="H205">
        <v>4.7</v>
      </c>
      <c r="I205">
        <v>93</v>
      </c>
      <c r="K205" t="str">
        <f>IF(C206="","",IF(COUNTIF($J$2:J$54,C206)&gt;1,C206,""))</f>
        <v/>
      </c>
    </row>
    <row r="206" spans="1:11" x14ac:dyDescent="0.25">
      <c r="A206">
        <v>4</v>
      </c>
      <c r="B206" t="s">
        <v>420</v>
      </c>
      <c r="C206" s="2" t="s">
        <v>421</v>
      </c>
      <c r="D206" t="s">
        <v>10</v>
      </c>
      <c r="E206">
        <v>1</v>
      </c>
      <c r="F206" t="s">
        <v>11</v>
      </c>
      <c r="G206" t="s">
        <v>12</v>
      </c>
      <c r="H206">
        <v>4.5999999999999996</v>
      </c>
      <c r="I206">
        <v>70</v>
      </c>
      <c r="K206" t="str">
        <f>IF(C207="","",IF(COUNTIF($J$2:J$54,C207)&gt;1,C207,""))</f>
        <v/>
      </c>
    </row>
    <row r="207" spans="1:11" x14ac:dyDescent="0.25">
      <c r="A207">
        <v>5</v>
      </c>
      <c r="B207" t="s">
        <v>422</v>
      </c>
      <c r="C207" s="2" t="s">
        <v>423</v>
      </c>
      <c r="D207" t="s">
        <v>10</v>
      </c>
      <c r="E207">
        <v>1</v>
      </c>
      <c r="F207" t="s">
        <v>11</v>
      </c>
      <c r="G207" t="s">
        <v>12</v>
      </c>
      <c r="H207">
        <v>4.8</v>
      </c>
      <c r="I207">
        <v>41</v>
      </c>
      <c r="K207" t="str">
        <f>IF(C208="","",IF(COUNTIF($J$2:J$54,C208)&gt;1,C208,""))</f>
        <v/>
      </c>
    </row>
    <row r="208" spans="1:11" x14ac:dyDescent="0.25">
      <c r="A208">
        <v>6</v>
      </c>
      <c r="B208" t="s">
        <v>424</v>
      </c>
      <c r="C208" s="2" t="s">
        <v>425</v>
      </c>
      <c r="D208" t="s">
        <v>10</v>
      </c>
      <c r="E208">
        <v>2</v>
      </c>
      <c r="F208" t="s">
        <v>11</v>
      </c>
      <c r="G208" t="s">
        <v>12</v>
      </c>
      <c r="H208">
        <v>4.7</v>
      </c>
      <c r="I208">
        <v>3</v>
      </c>
      <c r="K208" t="str">
        <f>IF(C209="","",IF(COUNTIF($J$2:J$54,C209)&gt;1,C209,""))</f>
        <v/>
      </c>
    </row>
    <row r="209" spans="1:11" x14ac:dyDescent="0.25">
      <c r="A209">
        <v>7</v>
      </c>
      <c r="B209" t="s">
        <v>426</v>
      </c>
      <c r="C209" s="2" t="s">
        <v>427</v>
      </c>
      <c r="D209" t="s">
        <v>10</v>
      </c>
      <c r="E209">
        <v>1</v>
      </c>
      <c r="F209" t="s">
        <v>11</v>
      </c>
      <c r="G209" t="s">
        <v>12</v>
      </c>
      <c r="H209">
        <v>4.5999999999999996</v>
      </c>
      <c r="I209">
        <v>26</v>
      </c>
      <c r="K209" t="str">
        <f>IF(C210="","",IF(COUNTIF($J$2:J$54,C210)&gt;1,C210,""))</f>
        <v/>
      </c>
    </row>
    <row r="210" spans="1:11" x14ac:dyDescent="0.25">
      <c r="A210">
        <v>8</v>
      </c>
      <c r="B210" t="s">
        <v>428</v>
      </c>
      <c r="C210" s="2" t="s">
        <v>429</v>
      </c>
      <c r="D210" t="s">
        <v>10</v>
      </c>
      <c r="E210">
        <v>1</v>
      </c>
      <c r="F210" t="s">
        <v>11</v>
      </c>
      <c r="G210" t="s">
        <v>12</v>
      </c>
      <c r="H210">
        <v>4.8</v>
      </c>
      <c r="I210">
        <v>26</v>
      </c>
      <c r="K210" t="str">
        <f>IF(C211="","",IF(COUNTIF($J$2:J$54,C211)&gt;1,C211,""))</f>
        <v/>
      </c>
    </row>
    <row r="211" spans="1:11" x14ac:dyDescent="0.25">
      <c r="A211">
        <v>9</v>
      </c>
      <c r="B211" t="s">
        <v>430</v>
      </c>
      <c r="C211" s="2" t="s">
        <v>431</v>
      </c>
      <c r="D211" t="s">
        <v>15</v>
      </c>
      <c r="E211">
        <v>3</v>
      </c>
      <c r="F211" t="s">
        <v>11</v>
      </c>
      <c r="G211" t="s">
        <v>12</v>
      </c>
      <c r="H211">
        <v>5</v>
      </c>
      <c r="I211">
        <v>3</v>
      </c>
      <c r="K211" t="str">
        <f>IF(C212="","",IF(COUNTIF($J$2:J$54,C212)&gt;1,C212,""))</f>
        <v/>
      </c>
    </row>
    <row r="212" spans="1:11" x14ac:dyDescent="0.25">
      <c r="A212">
        <v>10</v>
      </c>
      <c r="B212" t="s">
        <v>432</v>
      </c>
      <c r="C212" s="2" t="s">
        <v>433</v>
      </c>
      <c r="D212" t="s">
        <v>15</v>
      </c>
      <c r="E212">
        <v>2</v>
      </c>
      <c r="F212" t="s">
        <v>11</v>
      </c>
      <c r="G212" t="s">
        <v>12</v>
      </c>
      <c r="H212">
        <v>4</v>
      </c>
      <c r="I212">
        <v>2</v>
      </c>
      <c r="K212" t="str">
        <f>IF(C213="","",IF(COUNTIF($J$2:J$54,C213)&gt;1,C213,""))</f>
        <v/>
      </c>
    </row>
    <row r="213" spans="1:11" x14ac:dyDescent="0.25">
      <c r="A213">
        <v>11</v>
      </c>
      <c r="B213" t="s">
        <v>434</v>
      </c>
      <c r="C213" s="2" t="s">
        <v>435</v>
      </c>
      <c r="D213" t="s">
        <v>15</v>
      </c>
      <c r="E213">
        <v>3</v>
      </c>
      <c r="F213" t="s">
        <v>11</v>
      </c>
      <c r="G213" t="s">
        <v>12</v>
      </c>
      <c r="H213">
        <v>5</v>
      </c>
      <c r="I213">
        <v>2</v>
      </c>
      <c r="K213" t="str">
        <f>IF(C214="","",IF(COUNTIF($J$2:J$54,C214)&gt;1,C214,""))</f>
        <v/>
      </c>
    </row>
    <row r="214" spans="1:11" x14ac:dyDescent="0.25">
      <c r="A214">
        <v>12</v>
      </c>
      <c r="B214" t="s">
        <v>436</v>
      </c>
      <c r="C214" s="2" t="s">
        <v>437</v>
      </c>
      <c r="D214" t="s">
        <v>10</v>
      </c>
      <c r="E214">
        <v>4</v>
      </c>
      <c r="F214" t="s">
        <v>11</v>
      </c>
      <c r="G214" t="s">
        <v>12</v>
      </c>
      <c r="I214">
        <v>0</v>
      </c>
      <c r="K214" t="str">
        <f>IF(C215="","",IF(COUNTIF($C$2:C$215,J$2:J$53)=1,C215,""))</f>
        <v/>
      </c>
    </row>
    <row r="215" spans="1:11" x14ac:dyDescent="0.25">
      <c r="A215">
        <v>13</v>
      </c>
      <c r="B215" t="s">
        <v>438</v>
      </c>
      <c r="C215" s="2" t="s">
        <v>439</v>
      </c>
      <c r="D215" t="s">
        <v>10</v>
      </c>
      <c r="E215">
        <v>4</v>
      </c>
      <c r="F215" t="s">
        <v>11</v>
      </c>
      <c r="G215" t="s">
        <v>12</v>
      </c>
      <c r="I215">
        <v>0</v>
      </c>
      <c r="K215" t="e">
        <f>IF(#REF!="","",IF(COUNTIF($C$2:C$215,J$2:J$53)=1,#REF!,""))</f>
        <v>#REF!</v>
      </c>
    </row>
  </sheetData>
  <autoFilter ref="A1:K215">
    <sortState ref="A2:K206">
      <sortCondition sortBy="cellColor" ref="C1:C215" dxfId="6"/>
    </sortState>
  </autoFilter>
  <conditionalFormatting sqref="C1:C201 C203:C1048576">
    <cfRule type="duplicateValues" dxfId="5" priority="52"/>
  </conditionalFormatting>
  <conditionalFormatting sqref="J1:J1048576 C1:C201 C203:C1048576">
    <cfRule type="duplicateValues" dxfId="4" priority="55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61"/>
  <sheetViews>
    <sheetView zoomScale="115" zoomScaleNormal="115" workbookViewId="0">
      <pane ySplit="1" topLeftCell="A3" activePane="bottomLeft" state="frozen"/>
      <selection activeCell="B1" sqref="B1"/>
      <selection pane="bottomLeft" activeCell="C26" sqref="C26"/>
    </sheetView>
  </sheetViews>
  <sheetFormatPr defaultRowHeight="15" x14ac:dyDescent="0.25"/>
  <cols>
    <col min="2" max="2" width="53.140625" customWidth="1"/>
    <col min="3" max="3" width="65.7109375" customWidth="1"/>
    <col min="4" max="4" width="18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445</v>
      </c>
    </row>
    <row r="2" spans="2:11" hidden="1" x14ac:dyDescent="0.25"/>
    <row r="3" spans="2:11" hidden="1" x14ac:dyDescent="0.25"/>
    <row r="4" spans="2:11" hidden="1" x14ac:dyDescent="0.25"/>
    <row r="5" spans="2:11" hidden="1" x14ac:dyDescent="0.25"/>
    <row r="6" spans="2:11" hidden="1" x14ac:dyDescent="0.25"/>
    <row r="7" spans="2:11" hidden="1" x14ac:dyDescent="0.25"/>
    <row r="8" spans="2:11" hidden="1" x14ac:dyDescent="0.25"/>
    <row r="9" spans="2:11" hidden="1" x14ac:dyDescent="0.25"/>
    <row r="10" spans="2:11" hidden="1" x14ac:dyDescent="0.25"/>
    <row r="11" spans="2:11" hidden="1" x14ac:dyDescent="0.25"/>
    <row r="12" spans="2:11" hidden="1" x14ac:dyDescent="0.25"/>
    <row r="13" spans="2:11" hidden="1" x14ac:dyDescent="0.25"/>
    <row r="14" spans="2:11" hidden="1" x14ac:dyDescent="0.25">
      <c r="B14" s="3"/>
    </row>
    <row r="15" spans="2:11" hidden="1" x14ac:dyDescent="0.25"/>
    <row r="16" spans="2:11" hidden="1" x14ac:dyDescent="0.25"/>
    <row r="17" hidden="1" x14ac:dyDescent="0.25"/>
    <row r="18" hidden="1" x14ac:dyDescent="0.25"/>
    <row r="19" hidden="1" x14ac:dyDescent="0.25"/>
    <row r="20" hidden="1" x14ac:dyDescent="0.25"/>
    <row r="21" hidden="1" x14ac:dyDescent="0.25"/>
    <row r="22" hidden="1" x14ac:dyDescent="0.25"/>
    <row r="23" hidden="1" x14ac:dyDescent="0.25"/>
    <row r="24" hidden="1" x14ac:dyDescent="0.25"/>
    <row r="25" hidden="1" x14ac:dyDescent="0.25"/>
    <row r="26" hidden="1" x14ac:dyDescent="0.25"/>
    <row r="27" hidden="1" x14ac:dyDescent="0.25"/>
    <row r="28" hidden="1" x14ac:dyDescent="0.25"/>
    <row r="29" hidden="1" x14ac:dyDescent="0.25"/>
    <row r="30" hidden="1" x14ac:dyDescent="0.25"/>
    <row r="31" hidden="1" x14ac:dyDescent="0.25"/>
    <row r="32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s="1" customFormat="1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spans="1:11" hidden="1" x14ac:dyDescent="0.25">
      <c r="A161">
        <v>13</v>
      </c>
      <c r="B161" t="s">
        <v>438</v>
      </c>
      <c r="D161" t="s">
        <v>10</v>
      </c>
      <c r="E161">
        <v>4</v>
      </c>
      <c r="F161" t="s">
        <v>11</v>
      </c>
      <c r="G161" t="s">
        <v>12</v>
      </c>
      <c r="I161">
        <v>0</v>
      </c>
      <c r="K161" t="s">
        <v>447</v>
      </c>
    </row>
  </sheetData>
  <autoFilter ref="A1:K161">
    <filterColumn colId="2">
      <customFilters>
        <customFilter val="***"/>
      </customFilters>
    </filterColumn>
    <sortState ref="A2:K161">
      <sortCondition descending="1" ref="I1:I162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"/>
  <sheetViews>
    <sheetView tabSelected="1" topLeftCell="A46" workbookViewId="0">
      <selection activeCell="B57" sqref="B57"/>
    </sheetView>
  </sheetViews>
  <sheetFormatPr defaultRowHeight="15" x14ac:dyDescent="0.25"/>
  <cols>
    <col min="3" max="3" width="71.7109375" bestFit="1" customWidth="1"/>
  </cols>
  <sheetData>
    <row r="1" spans="1:11" x14ac:dyDescent="0.25">
      <c r="A1">
        <v>19</v>
      </c>
      <c r="B1" t="s">
        <v>251</v>
      </c>
      <c r="C1" t="s">
        <v>252</v>
      </c>
      <c r="D1" t="s">
        <v>10</v>
      </c>
      <c r="E1">
        <v>1</v>
      </c>
      <c r="F1" t="s">
        <v>11</v>
      </c>
      <c r="G1" t="s">
        <v>12</v>
      </c>
      <c r="H1">
        <v>3.9</v>
      </c>
      <c r="I1">
        <v>408</v>
      </c>
      <c r="K1" t="s">
        <v>447</v>
      </c>
    </row>
    <row r="2" spans="1:11" x14ac:dyDescent="0.25">
      <c r="A2">
        <v>73</v>
      </c>
      <c r="B2" t="s">
        <v>360</v>
      </c>
      <c r="C2" t="s">
        <v>361</v>
      </c>
      <c r="D2" t="s">
        <v>10</v>
      </c>
      <c r="E2">
        <v>1</v>
      </c>
      <c r="F2" t="s">
        <v>11</v>
      </c>
      <c r="G2" t="s">
        <v>12</v>
      </c>
      <c r="H2">
        <v>4.5</v>
      </c>
      <c r="I2">
        <v>369</v>
      </c>
      <c r="K2" t="s">
        <v>447</v>
      </c>
    </row>
    <row r="3" spans="1:11" x14ac:dyDescent="0.25">
      <c r="A3">
        <v>48</v>
      </c>
      <c r="B3" t="s">
        <v>310</v>
      </c>
      <c r="C3" t="s">
        <v>311</v>
      </c>
      <c r="D3" t="s">
        <v>10</v>
      </c>
      <c r="E3">
        <v>1</v>
      </c>
      <c r="F3" t="s">
        <v>11</v>
      </c>
      <c r="G3" t="s">
        <v>12</v>
      </c>
      <c r="H3">
        <v>4</v>
      </c>
      <c r="I3">
        <v>304</v>
      </c>
      <c r="K3" t="s">
        <v>447</v>
      </c>
    </row>
    <row r="4" spans="1:11" x14ac:dyDescent="0.25">
      <c r="A4">
        <v>22</v>
      </c>
      <c r="B4" t="s">
        <v>257</v>
      </c>
      <c r="C4" t="s">
        <v>258</v>
      </c>
      <c r="D4" t="s">
        <v>10</v>
      </c>
      <c r="E4">
        <v>1</v>
      </c>
      <c r="F4" t="s">
        <v>11</v>
      </c>
      <c r="G4" t="s">
        <v>12</v>
      </c>
      <c r="H4">
        <v>4.7</v>
      </c>
      <c r="I4">
        <v>241</v>
      </c>
      <c r="K4" t="s">
        <v>447</v>
      </c>
    </row>
    <row r="5" spans="1:11" x14ac:dyDescent="0.25">
      <c r="A5">
        <v>39</v>
      </c>
      <c r="B5" t="s">
        <v>90</v>
      </c>
      <c r="C5" t="s">
        <v>91</v>
      </c>
      <c r="D5" t="s">
        <v>10</v>
      </c>
      <c r="E5">
        <v>1</v>
      </c>
      <c r="F5" t="s">
        <v>11</v>
      </c>
      <c r="G5" t="s">
        <v>12</v>
      </c>
      <c r="H5">
        <v>4.5</v>
      </c>
      <c r="I5">
        <v>232</v>
      </c>
      <c r="J5" t="s">
        <v>423</v>
      </c>
      <c r="K5" t="s">
        <v>91</v>
      </c>
    </row>
    <row r="6" spans="1:11" x14ac:dyDescent="0.25">
      <c r="A6">
        <v>68</v>
      </c>
      <c r="B6" t="s">
        <v>350</v>
      </c>
      <c r="C6" t="s">
        <v>351</v>
      </c>
      <c r="D6" t="s">
        <v>10</v>
      </c>
      <c r="E6">
        <v>1</v>
      </c>
      <c r="F6" t="s">
        <v>11</v>
      </c>
      <c r="G6" t="s">
        <v>12</v>
      </c>
      <c r="H6">
        <v>4.5999999999999996</v>
      </c>
      <c r="I6">
        <v>186</v>
      </c>
      <c r="K6" t="s">
        <v>447</v>
      </c>
    </row>
    <row r="7" spans="1:11" x14ac:dyDescent="0.25">
      <c r="A7">
        <v>6</v>
      </c>
      <c r="B7" t="s">
        <v>225</v>
      </c>
      <c r="C7" t="s">
        <v>226</v>
      </c>
      <c r="D7" t="s">
        <v>10</v>
      </c>
      <c r="E7">
        <v>1</v>
      </c>
      <c r="F7" t="s">
        <v>11</v>
      </c>
      <c r="G7" t="s">
        <v>12</v>
      </c>
      <c r="H7">
        <v>4.5999999999999996</v>
      </c>
      <c r="I7">
        <v>169</v>
      </c>
      <c r="K7" t="s">
        <v>447</v>
      </c>
    </row>
    <row r="8" spans="1:11" x14ac:dyDescent="0.25">
      <c r="A8">
        <v>64</v>
      </c>
      <c r="B8" t="s">
        <v>141</v>
      </c>
      <c r="C8" t="s">
        <v>142</v>
      </c>
      <c r="D8" t="s">
        <v>15</v>
      </c>
      <c r="E8">
        <v>1</v>
      </c>
      <c r="F8" t="s">
        <v>11</v>
      </c>
      <c r="G8" t="s">
        <v>12</v>
      </c>
      <c r="H8">
        <v>4.0999999999999996</v>
      </c>
      <c r="I8">
        <v>167</v>
      </c>
      <c r="K8" t="s">
        <v>447</v>
      </c>
    </row>
    <row r="9" spans="1:11" x14ac:dyDescent="0.25">
      <c r="A9">
        <v>14</v>
      </c>
      <c r="B9" t="s">
        <v>40</v>
      </c>
      <c r="C9" t="s">
        <v>41</v>
      </c>
      <c r="D9" t="s">
        <v>10</v>
      </c>
      <c r="E9">
        <v>1</v>
      </c>
      <c r="F9" t="s">
        <v>11</v>
      </c>
      <c r="G9" t="s">
        <v>12</v>
      </c>
      <c r="H9">
        <v>4.4000000000000004</v>
      </c>
      <c r="I9">
        <v>159</v>
      </c>
      <c r="J9" t="s">
        <v>196</v>
      </c>
      <c r="K9" t="s">
        <v>41</v>
      </c>
    </row>
    <row r="10" spans="1:11" x14ac:dyDescent="0.25">
      <c r="A10">
        <v>96</v>
      </c>
      <c r="B10" t="s">
        <v>406</v>
      </c>
      <c r="C10" t="s">
        <v>407</v>
      </c>
      <c r="D10" t="s">
        <v>10</v>
      </c>
      <c r="E10">
        <v>1</v>
      </c>
      <c r="F10" t="s">
        <v>11</v>
      </c>
      <c r="G10" t="s">
        <v>12</v>
      </c>
      <c r="H10">
        <v>4.5999999999999996</v>
      </c>
      <c r="I10">
        <v>135</v>
      </c>
      <c r="K10" t="s">
        <v>447</v>
      </c>
    </row>
    <row r="11" spans="1:11" x14ac:dyDescent="0.25">
      <c r="A11">
        <v>60</v>
      </c>
      <c r="B11" t="s">
        <v>334</v>
      </c>
      <c r="C11" t="s">
        <v>335</v>
      </c>
      <c r="D11" t="s">
        <v>10</v>
      </c>
      <c r="E11">
        <v>1</v>
      </c>
      <c r="F11" t="s">
        <v>11</v>
      </c>
      <c r="G11" t="s">
        <v>12</v>
      </c>
      <c r="H11">
        <v>4.5999999999999996</v>
      </c>
      <c r="I11">
        <v>79</v>
      </c>
      <c r="K11" t="s">
        <v>447</v>
      </c>
    </row>
    <row r="12" spans="1:11" x14ac:dyDescent="0.25">
      <c r="A12">
        <v>11</v>
      </c>
      <c r="B12" t="s">
        <v>235</v>
      </c>
      <c r="C12" t="s">
        <v>236</v>
      </c>
      <c r="D12" t="s">
        <v>15</v>
      </c>
      <c r="E12">
        <v>1</v>
      </c>
      <c r="F12" t="s">
        <v>11</v>
      </c>
      <c r="G12" t="s">
        <v>12</v>
      </c>
      <c r="H12">
        <v>4.7</v>
      </c>
      <c r="I12">
        <v>76</v>
      </c>
      <c r="K12" t="s">
        <v>447</v>
      </c>
    </row>
    <row r="13" spans="1:11" x14ac:dyDescent="0.25">
      <c r="A13">
        <v>7</v>
      </c>
      <c r="B13" t="s">
        <v>26</v>
      </c>
      <c r="C13" t="s">
        <v>27</v>
      </c>
      <c r="D13" t="s">
        <v>10</v>
      </c>
      <c r="E13">
        <v>1</v>
      </c>
      <c r="F13" t="s">
        <v>11</v>
      </c>
      <c r="G13" t="s">
        <v>12</v>
      </c>
      <c r="H13">
        <v>4.7</v>
      </c>
      <c r="I13">
        <v>60</v>
      </c>
      <c r="J13" t="s">
        <v>83</v>
      </c>
      <c r="K13" t="s">
        <v>27</v>
      </c>
    </row>
    <row r="14" spans="1:11" x14ac:dyDescent="0.25">
      <c r="A14">
        <v>83</v>
      </c>
      <c r="B14" t="s">
        <v>380</v>
      </c>
      <c r="C14" t="s">
        <v>381</v>
      </c>
      <c r="D14" t="s">
        <v>10</v>
      </c>
      <c r="E14">
        <v>1</v>
      </c>
      <c r="F14" t="s">
        <v>11</v>
      </c>
      <c r="G14" t="s">
        <v>12</v>
      </c>
      <c r="H14">
        <v>4.5</v>
      </c>
      <c r="I14">
        <v>55</v>
      </c>
      <c r="K14" t="s">
        <v>447</v>
      </c>
    </row>
    <row r="15" spans="1:11" x14ac:dyDescent="0.25">
      <c r="A15">
        <v>99</v>
      </c>
      <c r="B15" t="s">
        <v>412</v>
      </c>
      <c r="C15" t="s">
        <v>413</v>
      </c>
      <c r="D15" t="s">
        <v>10</v>
      </c>
      <c r="E15">
        <v>1</v>
      </c>
      <c r="F15" t="s">
        <v>11</v>
      </c>
      <c r="G15" t="s">
        <v>12</v>
      </c>
      <c r="H15">
        <v>4.0999999999999996</v>
      </c>
      <c r="I15">
        <v>54</v>
      </c>
      <c r="K15" t="s">
        <v>447</v>
      </c>
    </row>
    <row r="16" spans="1:11" x14ac:dyDescent="0.25">
      <c r="A16">
        <v>27</v>
      </c>
      <c r="B16" t="s">
        <v>267</v>
      </c>
      <c r="C16" t="s">
        <v>268</v>
      </c>
      <c r="D16" t="s">
        <v>10</v>
      </c>
      <c r="E16">
        <v>1</v>
      </c>
      <c r="F16" t="s">
        <v>11</v>
      </c>
      <c r="G16" t="s">
        <v>12</v>
      </c>
      <c r="H16">
        <v>4.3</v>
      </c>
      <c r="I16">
        <v>49</v>
      </c>
      <c r="K16" t="s">
        <v>447</v>
      </c>
    </row>
    <row r="17" spans="1:11" x14ac:dyDescent="0.25">
      <c r="A17">
        <v>5</v>
      </c>
      <c r="B17" t="s">
        <v>422</v>
      </c>
      <c r="C17" t="s">
        <v>425</v>
      </c>
      <c r="D17" t="s">
        <v>10</v>
      </c>
      <c r="E17">
        <v>1</v>
      </c>
      <c r="F17" t="s">
        <v>11</v>
      </c>
      <c r="G17" t="s">
        <v>12</v>
      </c>
      <c r="H17">
        <v>4.8</v>
      </c>
      <c r="I17">
        <v>41</v>
      </c>
      <c r="K17" t="s">
        <v>447</v>
      </c>
    </row>
    <row r="18" spans="1:11" x14ac:dyDescent="0.25">
      <c r="A18">
        <v>54</v>
      </c>
      <c r="B18" t="s">
        <v>322</v>
      </c>
      <c r="C18" t="s">
        <v>323</v>
      </c>
      <c r="D18" t="s">
        <v>10</v>
      </c>
      <c r="E18">
        <v>1</v>
      </c>
      <c r="F18" t="s">
        <v>11</v>
      </c>
      <c r="G18" t="s">
        <v>12</v>
      </c>
      <c r="H18">
        <v>4.4000000000000004</v>
      </c>
      <c r="I18">
        <v>34</v>
      </c>
      <c r="K18" t="s">
        <v>447</v>
      </c>
    </row>
    <row r="19" spans="1:11" x14ac:dyDescent="0.25">
      <c r="A19">
        <v>41</v>
      </c>
      <c r="B19" t="s">
        <v>296</v>
      </c>
      <c r="C19" t="s">
        <v>297</v>
      </c>
      <c r="D19" t="s">
        <v>15</v>
      </c>
      <c r="E19">
        <v>1</v>
      </c>
      <c r="F19" t="s">
        <v>11</v>
      </c>
      <c r="G19" t="s">
        <v>12</v>
      </c>
      <c r="H19">
        <v>4.5</v>
      </c>
      <c r="I19">
        <v>27</v>
      </c>
      <c r="K19" t="s">
        <v>447</v>
      </c>
    </row>
    <row r="20" spans="1:11" x14ac:dyDescent="0.25">
      <c r="A20">
        <v>72</v>
      </c>
      <c r="B20" t="s">
        <v>157</v>
      </c>
      <c r="C20" t="s">
        <v>158</v>
      </c>
      <c r="D20" t="s">
        <v>15</v>
      </c>
      <c r="E20">
        <v>2</v>
      </c>
      <c r="F20" t="s">
        <v>11</v>
      </c>
      <c r="G20" t="s">
        <v>12</v>
      </c>
      <c r="H20">
        <v>4.3</v>
      </c>
      <c r="I20">
        <v>18</v>
      </c>
      <c r="K20" t="s">
        <v>447</v>
      </c>
    </row>
    <row r="21" spans="1:11" x14ac:dyDescent="0.25">
      <c r="A21">
        <v>50</v>
      </c>
      <c r="B21" t="s">
        <v>314</v>
      </c>
      <c r="C21" t="s">
        <v>315</v>
      </c>
      <c r="D21" t="s">
        <v>15</v>
      </c>
      <c r="E21">
        <v>1</v>
      </c>
      <c r="F21" t="s">
        <v>11</v>
      </c>
      <c r="G21" t="s">
        <v>12</v>
      </c>
      <c r="H21">
        <v>4.8</v>
      </c>
      <c r="I21">
        <v>18</v>
      </c>
      <c r="K21" t="s">
        <v>447</v>
      </c>
    </row>
    <row r="22" spans="1:11" x14ac:dyDescent="0.25">
      <c r="A22">
        <v>88</v>
      </c>
      <c r="B22" t="s">
        <v>390</v>
      </c>
      <c r="C22" t="s">
        <v>391</v>
      </c>
      <c r="D22" t="s">
        <v>10</v>
      </c>
      <c r="E22">
        <v>1</v>
      </c>
      <c r="F22" t="s">
        <v>11</v>
      </c>
      <c r="G22" t="s">
        <v>12</v>
      </c>
      <c r="H22">
        <v>3.7</v>
      </c>
      <c r="I22">
        <v>12</v>
      </c>
      <c r="K22" t="s">
        <v>447</v>
      </c>
    </row>
    <row r="23" spans="1:11" x14ac:dyDescent="0.25">
      <c r="A23">
        <v>1</v>
      </c>
      <c r="B23" t="s">
        <v>215</v>
      </c>
      <c r="C23" t="s">
        <v>216</v>
      </c>
      <c r="D23" t="s">
        <v>10</v>
      </c>
      <c r="E23">
        <v>1</v>
      </c>
      <c r="F23" t="s">
        <v>11</v>
      </c>
      <c r="G23" t="s">
        <v>12</v>
      </c>
      <c r="H23">
        <v>4.5999999999999996</v>
      </c>
      <c r="I23">
        <v>1397</v>
      </c>
      <c r="K23" t="s">
        <v>447</v>
      </c>
    </row>
    <row r="24" spans="1:11" x14ac:dyDescent="0.25">
      <c r="A24">
        <v>4</v>
      </c>
      <c r="B24" t="s">
        <v>221</v>
      </c>
      <c r="C24" t="s">
        <v>222</v>
      </c>
      <c r="D24" t="s">
        <v>15</v>
      </c>
      <c r="E24">
        <v>1</v>
      </c>
      <c r="F24" t="s">
        <v>11</v>
      </c>
      <c r="G24" t="s">
        <v>12</v>
      </c>
      <c r="H24">
        <v>4.5</v>
      </c>
      <c r="I24">
        <v>1337</v>
      </c>
      <c r="K24" t="s">
        <v>447</v>
      </c>
    </row>
    <row r="25" spans="1:11" ht="18.75" customHeight="1" x14ac:dyDescent="0.25">
      <c r="A25">
        <v>5</v>
      </c>
      <c r="B25" t="s">
        <v>223</v>
      </c>
      <c r="C25" t="s">
        <v>224</v>
      </c>
      <c r="D25" t="s">
        <v>15</v>
      </c>
      <c r="E25">
        <v>1</v>
      </c>
      <c r="F25" t="s">
        <v>11</v>
      </c>
      <c r="G25" t="s">
        <v>12</v>
      </c>
      <c r="H25">
        <v>4.5</v>
      </c>
      <c r="I25">
        <v>617</v>
      </c>
      <c r="K25" t="s">
        <v>447</v>
      </c>
    </row>
    <row r="26" spans="1:11" x14ac:dyDescent="0.25">
      <c r="A26">
        <v>2</v>
      </c>
      <c r="B26" t="s">
        <v>217</v>
      </c>
      <c r="C26" t="s">
        <v>218</v>
      </c>
      <c r="D26" t="s">
        <v>15</v>
      </c>
      <c r="E26">
        <v>1</v>
      </c>
      <c r="F26" t="s">
        <v>11</v>
      </c>
      <c r="G26" t="s">
        <v>12</v>
      </c>
      <c r="H26">
        <v>4.5</v>
      </c>
      <c r="I26">
        <v>1201</v>
      </c>
      <c r="K26" t="s">
        <v>447</v>
      </c>
    </row>
    <row r="27" spans="1:11" x14ac:dyDescent="0.25">
      <c r="A27">
        <v>17</v>
      </c>
      <c r="B27" t="s">
        <v>247</v>
      </c>
      <c r="C27" t="s">
        <v>248</v>
      </c>
      <c r="D27" t="s">
        <v>10</v>
      </c>
      <c r="E27">
        <v>1</v>
      </c>
      <c r="F27" t="s">
        <v>11</v>
      </c>
      <c r="G27" t="s">
        <v>12</v>
      </c>
      <c r="H27">
        <v>4.5</v>
      </c>
      <c r="I27">
        <v>327</v>
      </c>
      <c r="K27" t="s">
        <v>447</v>
      </c>
    </row>
    <row r="28" spans="1:11" x14ac:dyDescent="0.25">
      <c r="A28">
        <v>57</v>
      </c>
      <c r="B28" t="s">
        <v>126</v>
      </c>
      <c r="C28" t="s">
        <v>127</v>
      </c>
      <c r="D28" t="s">
        <v>10</v>
      </c>
      <c r="E28">
        <v>1</v>
      </c>
      <c r="F28" t="s">
        <v>11</v>
      </c>
      <c r="G28" t="s">
        <v>12</v>
      </c>
      <c r="H28">
        <v>4.5999999999999996</v>
      </c>
      <c r="I28">
        <v>247</v>
      </c>
      <c r="K28" t="s">
        <v>447</v>
      </c>
    </row>
    <row r="29" spans="1:11" x14ac:dyDescent="0.25">
      <c r="A29">
        <v>37</v>
      </c>
      <c r="B29" t="s">
        <v>288</v>
      </c>
      <c r="C29" t="s">
        <v>289</v>
      </c>
      <c r="D29" t="s">
        <v>15</v>
      </c>
      <c r="E29">
        <v>1</v>
      </c>
      <c r="F29" t="s">
        <v>11</v>
      </c>
      <c r="G29" t="s">
        <v>12</v>
      </c>
      <c r="H29">
        <v>4.5999999999999996</v>
      </c>
      <c r="I29">
        <v>244</v>
      </c>
      <c r="K29" t="s">
        <v>447</v>
      </c>
    </row>
    <row r="30" spans="1:11" x14ac:dyDescent="0.25">
      <c r="A30">
        <v>59</v>
      </c>
      <c r="B30" t="s">
        <v>332</v>
      </c>
      <c r="C30" t="s">
        <v>333</v>
      </c>
      <c r="D30" t="s">
        <v>15</v>
      </c>
      <c r="E30">
        <v>1</v>
      </c>
      <c r="F30" t="s">
        <v>11</v>
      </c>
      <c r="G30" t="s">
        <v>12</v>
      </c>
      <c r="H30">
        <v>4.5</v>
      </c>
      <c r="I30">
        <v>224</v>
      </c>
      <c r="K30" t="s">
        <v>447</v>
      </c>
    </row>
    <row r="31" spans="1:11" x14ac:dyDescent="0.25">
      <c r="A31">
        <v>7</v>
      </c>
      <c r="B31" t="s">
        <v>227</v>
      </c>
      <c r="C31" t="s">
        <v>228</v>
      </c>
      <c r="D31" t="s">
        <v>10</v>
      </c>
      <c r="E31">
        <v>1</v>
      </c>
      <c r="F31" t="s">
        <v>11</v>
      </c>
      <c r="G31" t="s">
        <v>12</v>
      </c>
      <c r="H31">
        <v>4.2</v>
      </c>
      <c r="I31">
        <v>160</v>
      </c>
      <c r="K31" t="s">
        <v>447</v>
      </c>
    </row>
    <row r="32" spans="1:11" x14ac:dyDescent="0.25">
      <c r="A32">
        <v>24</v>
      </c>
      <c r="B32" t="s">
        <v>261</v>
      </c>
      <c r="C32" t="s">
        <v>262</v>
      </c>
      <c r="D32" t="s">
        <v>132</v>
      </c>
      <c r="E32">
        <v>1</v>
      </c>
      <c r="F32" t="s">
        <v>11</v>
      </c>
      <c r="G32" t="s">
        <v>12</v>
      </c>
      <c r="H32">
        <v>4.5999999999999996</v>
      </c>
      <c r="I32">
        <v>154</v>
      </c>
      <c r="K32" t="s">
        <v>447</v>
      </c>
    </row>
    <row r="33" spans="1:11" x14ac:dyDescent="0.25">
      <c r="A33">
        <v>48</v>
      </c>
      <c r="B33" t="s">
        <v>108</v>
      </c>
      <c r="C33" t="s">
        <v>109</v>
      </c>
      <c r="D33" t="s">
        <v>15</v>
      </c>
      <c r="E33">
        <v>1</v>
      </c>
      <c r="F33" t="s">
        <v>11</v>
      </c>
      <c r="G33" t="s">
        <v>12</v>
      </c>
      <c r="H33">
        <v>4.4000000000000004</v>
      </c>
      <c r="I33">
        <v>140</v>
      </c>
      <c r="J33" t="s">
        <v>47</v>
      </c>
      <c r="K33" t="s">
        <v>109</v>
      </c>
    </row>
    <row r="34" spans="1:11" x14ac:dyDescent="0.25">
      <c r="A34">
        <v>55</v>
      </c>
      <c r="B34" t="s">
        <v>122</v>
      </c>
      <c r="C34" t="s">
        <v>123</v>
      </c>
      <c r="D34" t="s">
        <v>10</v>
      </c>
      <c r="E34">
        <v>1</v>
      </c>
      <c r="F34" t="s">
        <v>11</v>
      </c>
      <c r="G34" t="s">
        <v>12</v>
      </c>
      <c r="H34">
        <v>4.5999999999999996</v>
      </c>
      <c r="I34">
        <v>125</v>
      </c>
      <c r="K34" t="s">
        <v>447</v>
      </c>
    </row>
    <row r="35" spans="1:11" x14ac:dyDescent="0.25">
      <c r="A35">
        <v>19</v>
      </c>
      <c r="B35" t="s">
        <v>50</v>
      </c>
      <c r="C35" t="s">
        <v>51</v>
      </c>
      <c r="D35" t="s">
        <v>15</v>
      </c>
      <c r="E35">
        <v>1</v>
      </c>
      <c r="F35" t="s">
        <v>11</v>
      </c>
      <c r="G35" t="s">
        <v>12</v>
      </c>
      <c r="H35">
        <v>4.3</v>
      </c>
      <c r="I35">
        <v>112</v>
      </c>
      <c r="J35" t="s">
        <v>274</v>
      </c>
      <c r="K35" t="s">
        <v>51</v>
      </c>
    </row>
    <row r="36" spans="1:11" x14ac:dyDescent="0.25">
      <c r="A36">
        <v>75</v>
      </c>
      <c r="B36" t="s">
        <v>163</v>
      </c>
      <c r="C36" t="s">
        <v>164</v>
      </c>
      <c r="D36" t="s">
        <v>15</v>
      </c>
      <c r="E36">
        <v>1</v>
      </c>
      <c r="F36" t="s">
        <v>11</v>
      </c>
      <c r="G36" t="s">
        <v>12</v>
      </c>
      <c r="H36">
        <v>4.7</v>
      </c>
      <c r="I36">
        <v>100</v>
      </c>
      <c r="K36" t="s">
        <v>447</v>
      </c>
    </row>
    <row r="37" spans="1:11" x14ac:dyDescent="0.25">
      <c r="A37">
        <v>5</v>
      </c>
      <c r="B37" t="s">
        <v>22</v>
      </c>
      <c r="C37" t="s">
        <v>23</v>
      </c>
      <c r="D37" t="s">
        <v>10</v>
      </c>
      <c r="E37">
        <v>1</v>
      </c>
      <c r="F37" t="s">
        <v>11</v>
      </c>
      <c r="G37" t="s">
        <v>12</v>
      </c>
      <c r="H37">
        <v>4.3</v>
      </c>
      <c r="I37">
        <v>68</v>
      </c>
      <c r="J37" t="s">
        <v>71</v>
      </c>
      <c r="K37" t="s">
        <v>23</v>
      </c>
    </row>
    <row r="38" spans="1:11" x14ac:dyDescent="0.25">
      <c r="A38">
        <v>26</v>
      </c>
      <c r="B38" t="s">
        <v>64</v>
      </c>
      <c r="C38" t="s">
        <v>65</v>
      </c>
      <c r="D38" t="s">
        <v>15</v>
      </c>
      <c r="E38">
        <v>1</v>
      </c>
      <c r="F38" t="s">
        <v>11</v>
      </c>
      <c r="G38" t="s">
        <v>12</v>
      </c>
      <c r="H38">
        <v>4.7</v>
      </c>
      <c r="I38">
        <v>66</v>
      </c>
      <c r="J38" t="s">
        <v>305</v>
      </c>
      <c r="K38" t="s">
        <v>65</v>
      </c>
    </row>
    <row r="39" spans="1:11" x14ac:dyDescent="0.25">
      <c r="A39">
        <v>38</v>
      </c>
      <c r="B39" t="s">
        <v>88</v>
      </c>
      <c r="C39" t="s">
        <v>89</v>
      </c>
      <c r="D39" t="s">
        <v>15</v>
      </c>
      <c r="E39">
        <v>1</v>
      </c>
      <c r="F39" t="s">
        <v>11</v>
      </c>
      <c r="G39" t="s">
        <v>12</v>
      </c>
      <c r="H39">
        <v>4.5999999999999996</v>
      </c>
      <c r="I39">
        <v>66</v>
      </c>
      <c r="J39" t="s">
        <v>421</v>
      </c>
      <c r="K39" t="s">
        <v>89</v>
      </c>
    </row>
    <row r="40" spans="1:11" x14ac:dyDescent="0.25">
      <c r="A40">
        <v>71</v>
      </c>
      <c r="B40" t="s">
        <v>356</v>
      </c>
      <c r="C40" t="s">
        <v>357</v>
      </c>
      <c r="D40" t="s">
        <v>10</v>
      </c>
      <c r="E40">
        <v>1</v>
      </c>
      <c r="F40" t="s">
        <v>11</v>
      </c>
      <c r="G40" t="s">
        <v>12</v>
      </c>
      <c r="H40">
        <v>4.7</v>
      </c>
      <c r="I40">
        <v>61</v>
      </c>
      <c r="K40" t="s">
        <v>447</v>
      </c>
    </row>
    <row r="41" spans="1:11" x14ac:dyDescent="0.25">
      <c r="A41">
        <v>2</v>
      </c>
      <c r="B41" t="s">
        <v>416</v>
      </c>
      <c r="C41" t="s">
        <v>419</v>
      </c>
      <c r="D41" t="s">
        <v>10</v>
      </c>
      <c r="E41">
        <v>1</v>
      </c>
      <c r="F41" t="s">
        <v>11</v>
      </c>
      <c r="G41" t="s">
        <v>12</v>
      </c>
      <c r="H41">
        <v>4.8</v>
      </c>
      <c r="I41">
        <v>57</v>
      </c>
      <c r="K41" t="s">
        <v>447</v>
      </c>
    </row>
    <row r="42" spans="1:11" x14ac:dyDescent="0.25">
      <c r="A42">
        <v>34</v>
      </c>
      <c r="B42" t="s">
        <v>80</v>
      </c>
      <c r="C42" t="s">
        <v>81</v>
      </c>
      <c r="D42" t="s">
        <v>10</v>
      </c>
      <c r="E42">
        <v>1</v>
      </c>
      <c r="F42" t="s">
        <v>11</v>
      </c>
      <c r="G42" t="s">
        <v>12</v>
      </c>
      <c r="H42">
        <v>4.5</v>
      </c>
      <c r="I42">
        <v>54</v>
      </c>
      <c r="J42" t="s">
        <v>383</v>
      </c>
      <c r="K42" t="s">
        <v>81</v>
      </c>
    </row>
    <row r="43" spans="1:11" x14ac:dyDescent="0.25">
      <c r="A43">
        <v>79</v>
      </c>
      <c r="B43" t="s">
        <v>171</v>
      </c>
      <c r="C43" t="s">
        <v>172</v>
      </c>
      <c r="D43" t="s">
        <v>15</v>
      </c>
      <c r="E43">
        <v>1</v>
      </c>
      <c r="F43" t="s">
        <v>11</v>
      </c>
      <c r="G43" t="s">
        <v>12</v>
      </c>
      <c r="H43">
        <v>4.3</v>
      </c>
      <c r="I43">
        <v>52</v>
      </c>
      <c r="K43" t="s">
        <v>447</v>
      </c>
    </row>
    <row r="44" spans="1:11" x14ac:dyDescent="0.25">
      <c r="A44">
        <v>18</v>
      </c>
      <c r="B44" t="s">
        <v>48</v>
      </c>
      <c r="C44" t="s">
        <v>49</v>
      </c>
      <c r="D44" t="s">
        <v>15</v>
      </c>
      <c r="E44">
        <v>1</v>
      </c>
      <c r="F44" t="s">
        <v>11</v>
      </c>
      <c r="G44" t="s">
        <v>12</v>
      </c>
      <c r="H44">
        <v>4.5</v>
      </c>
      <c r="I44">
        <v>41</v>
      </c>
      <c r="J44" t="s">
        <v>272</v>
      </c>
      <c r="K44" t="s">
        <v>49</v>
      </c>
    </row>
    <row r="45" spans="1:11" x14ac:dyDescent="0.25">
      <c r="A45">
        <v>91</v>
      </c>
      <c r="B45" t="s">
        <v>396</v>
      </c>
      <c r="C45" t="s">
        <v>397</v>
      </c>
      <c r="D45" t="s">
        <v>10</v>
      </c>
      <c r="E45">
        <v>1</v>
      </c>
      <c r="F45" t="s">
        <v>11</v>
      </c>
      <c r="G45" t="s">
        <v>12</v>
      </c>
      <c r="H45">
        <v>4.2</v>
      </c>
      <c r="I45">
        <v>33</v>
      </c>
      <c r="K45" t="s">
        <v>447</v>
      </c>
    </row>
    <row r="46" spans="1:11" x14ac:dyDescent="0.25">
      <c r="A46">
        <v>10</v>
      </c>
      <c r="B46" t="s">
        <v>32</v>
      </c>
      <c r="C46" t="s">
        <v>33</v>
      </c>
      <c r="D46" t="s">
        <v>10</v>
      </c>
      <c r="E46">
        <v>1</v>
      </c>
      <c r="F46" t="s">
        <v>11</v>
      </c>
      <c r="G46" t="s">
        <v>12</v>
      </c>
      <c r="H46">
        <v>4.3</v>
      </c>
      <c r="I46">
        <v>29</v>
      </c>
      <c r="J46" t="s">
        <v>138</v>
      </c>
      <c r="K46" t="s">
        <v>33</v>
      </c>
    </row>
    <row r="47" spans="1:11" x14ac:dyDescent="0.25">
      <c r="A47">
        <v>43</v>
      </c>
      <c r="B47" t="s">
        <v>98</v>
      </c>
      <c r="C47" t="s">
        <v>99</v>
      </c>
      <c r="D47" t="s">
        <v>10</v>
      </c>
      <c r="E47">
        <v>1</v>
      </c>
      <c r="F47" t="s">
        <v>11</v>
      </c>
      <c r="G47" t="s">
        <v>12</v>
      </c>
      <c r="H47">
        <v>4.8</v>
      </c>
      <c r="I47">
        <v>26</v>
      </c>
      <c r="J47" t="s">
        <v>234</v>
      </c>
      <c r="K47" t="s">
        <v>99</v>
      </c>
    </row>
    <row r="48" spans="1:11" x14ac:dyDescent="0.25">
      <c r="A48">
        <v>8</v>
      </c>
      <c r="B48" t="s">
        <v>428</v>
      </c>
      <c r="C48" t="s">
        <v>431</v>
      </c>
      <c r="D48" t="s">
        <v>10</v>
      </c>
      <c r="E48">
        <v>1</v>
      </c>
      <c r="F48" t="s">
        <v>11</v>
      </c>
      <c r="G48" t="s">
        <v>12</v>
      </c>
      <c r="H48">
        <v>4.8</v>
      </c>
      <c r="I48">
        <v>26</v>
      </c>
      <c r="K48" t="s">
        <v>447</v>
      </c>
    </row>
    <row r="49" spans="1:11" x14ac:dyDescent="0.25">
      <c r="A49">
        <v>66</v>
      </c>
      <c r="B49" t="s">
        <v>145</v>
      </c>
      <c r="C49" t="s">
        <v>146</v>
      </c>
      <c r="D49" t="s">
        <v>10</v>
      </c>
      <c r="E49">
        <v>1</v>
      </c>
      <c r="F49" t="s">
        <v>11</v>
      </c>
      <c r="G49" t="s">
        <v>12</v>
      </c>
      <c r="H49">
        <v>4.8</v>
      </c>
      <c r="I49">
        <v>18</v>
      </c>
      <c r="K49" t="s">
        <v>447</v>
      </c>
    </row>
    <row r="50" spans="1:11" x14ac:dyDescent="0.25">
      <c r="A50">
        <v>25</v>
      </c>
      <c r="B50" t="s">
        <v>62</v>
      </c>
      <c r="C50" t="s">
        <v>63</v>
      </c>
      <c r="D50" t="s">
        <v>15</v>
      </c>
      <c r="E50">
        <v>1</v>
      </c>
      <c r="F50" t="s">
        <v>11</v>
      </c>
      <c r="G50" t="s">
        <v>12</v>
      </c>
      <c r="H50">
        <v>4.5999999999999996</v>
      </c>
      <c r="I50">
        <v>17</v>
      </c>
      <c r="J50" t="s">
        <v>301</v>
      </c>
      <c r="K50" t="s">
        <v>63</v>
      </c>
    </row>
    <row r="51" spans="1:11" x14ac:dyDescent="0.25">
      <c r="A51">
        <v>9</v>
      </c>
      <c r="B51" t="s">
        <v>430</v>
      </c>
      <c r="C51" t="s">
        <v>433</v>
      </c>
      <c r="D51" t="s">
        <v>15</v>
      </c>
      <c r="E51">
        <v>3</v>
      </c>
      <c r="F51" t="s">
        <v>11</v>
      </c>
      <c r="G51" t="s">
        <v>12</v>
      </c>
      <c r="H51">
        <v>5</v>
      </c>
      <c r="I51">
        <v>3</v>
      </c>
      <c r="K51" t="s">
        <v>447</v>
      </c>
    </row>
    <row r="52" spans="1:11" x14ac:dyDescent="0.25">
      <c r="A52">
        <v>33</v>
      </c>
      <c r="B52" t="s">
        <v>279</v>
      </c>
      <c r="C52" t="s">
        <v>280</v>
      </c>
      <c r="D52" t="s">
        <v>10</v>
      </c>
      <c r="E52">
        <v>2</v>
      </c>
      <c r="F52" t="s">
        <v>11</v>
      </c>
      <c r="G52" t="s">
        <v>281</v>
      </c>
      <c r="H52">
        <v>2.5</v>
      </c>
      <c r="I52">
        <v>2</v>
      </c>
      <c r="K52" t="s">
        <v>447</v>
      </c>
    </row>
    <row r="53" spans="1:11" x14ac:dyDescent="0.25">
      <c r="A53">
        <v>75</v>
      </c>
      <c r="B53" t="s">
        <v>364</v>
      </c>
      <c r="C53" t="s">
        <v>365</v>
      </c>
      <c r="D53" t="s">
        <v>15</v>
      </c>
      <c r="E53">
        <v>1</v>
      </c>
      <c r="F53" t="s">
        <v>11</v>
      </c>
      <c r="G53" t="s">
        <v>12</v>
      </c>
      <c r="H53">
        <v>4.7</v>
      </c>
      <c r="I53">
        <v>1396</v>
      </c>
      <c r="K53" t="s">
        <v>447</v>
      </c>
    </row>
    <row r="54" spans="1:11" x14ac:dyDescent="0.25">
      <c r="A54">
        <v>0</v>
      </c>
      <c r="B54" t="s">
        <v>213</v>
      </c>
      <c r="C54" t="s">
        <v>214</v>
      </c>
      <c r="D54" t="s">
        <v>15</v>
      </c>
      <c r="E54">
        <v>1</v>
      </c>
      <c r="F54" t="s">
        <v>11</v>
      </c>
      <c r="G54" t="s">
        <v>12</v>
      </c>
      <c r="H54">
        <v>4.7</v>
      </c>
      <c r="I54">
        <v>1029</v>
      </c>
      <c r="K54" t="s">
        <v>447</v>
      </c>
    </row>
    <row r="55" spans="1:11" x14ac:dyDescent="0.25">
      <c r="A55">
        <v>16</v>
      </c>
      <c r="B55" t="s">
        <v>245</v>
      </c>
      <c r="C55" t="s">
        <v>246</v>
      </c>
      <c r="D55" t="s">
        <v>15</v>
      </c>
      <c r="E55">
        <v>1</v>
      </c>
      <c r="F55" t="s">
        <v>11</v>
      </c>
      <c r="G55" t="s">
        <v>12</v>
      </c>
      <c r="H55">
        <v>4.5999999999999996</v>
      </c>
      <c r="I55">
        <v>633</v>
      </c>
      <c r="K55" t="s">
        <v>447</v>
      </c>
    </row>
    <row r="56" spans="1:11" x14ac:dyDescent="0.25">
      <c r="A56">
        <v>68</v>
      </c>
      <c r="B56" t="s">
        <v>149</v>
      </c>
      <c r="C56" t="s">
        <v>150</v>
      </c>
      <c r="D56" t="s">
        <v>10</v>
      </c>
      <c r="E56">
        <v>1</v>
      </c>
      <c r="F56" t="s">
        <v>11</v>
      </c>
      <c r="G56" t="s">
        <v>12</v>
      </c>
      <c r="H56">
        <v>4.5999999999999996</v>
      </c>
      <c r="I56">
        <v>399</v>
      </c>
      <c r="K56" t="s">
        <v>447</v>
      </c>
    </row>
    <row r="57" spans="1:11" x14ac:dyDescent="0.25">
      <c r="A57">
        <v>57</v>
      </c>
      <c r="B57" t="s">
        <v>328</v>
      </c>
      <c r="C57" t="s">
        <v>329</v>
      </c>
      <c r="D57" t="s">
        <v>15</v>
      </c>
      <c r="E57">
        <v>1</v>
      </c>
      <c r="F57" t="s">
        <v>11</v>
      </c>
      <c r="G57" t="s">
        <v>12</v>
      </c>
      <c r="H57">
        <v>4.5999999999999996</v>
      </c>
      <c r="I57">
        <v>391</v>
      </c>
      <c r="K57" t="s">
        <v>447</v>
      </c>
    </row>
    <row r="58" spans="1:11" x14ac:dyDescent="0.25">
      <c r="A58">
        <v>38</v>
      </c>
      <c r="B58" t="s">
        <v>290</v>
      </c>
      <c r="C58" t="s">
        <v>291</v>
      </c>
      <c r="D58" t="s">
        <v>15</v>
      </c>
      <c r="E58">
        <v>1</v>
      </c>
      <c r="F58" t="s">
        <v>11</v>
      </c>
      <c r="G58" t="s">
        <v>12</v>
      </c>
      <c r="H58">
        <v>4.4000000000000004</v>
      </c>
      <c r="I58">
        <v>389</v>
      </c>
      <c r="K58" t="s">
        <v>447</v>
      </c>
    </row>
    <row r="59" spans="1:11" x14ac:dyDescent="0.25">
      <c r="A59">
        <v>34</v>
      </c>
      <c r="B59" t="s">
        <v>282</v>
      </c>
      <c r="C59" t="s">
        <v>283</v>
      </c>
      <c r="D59" t="s">
        <v>10</v>
      </c>
      <c r="E59">
        <v>1</v>
      </c>
      <c r="F59" t="s">
        <v>11</v>
      </c>
      <c r="G59" t="s">
        <v>12</v>
      </c>
      <c r="H59">
        <v>4.4000000000000004</v>
      </c>
      <c r="I59">
        <v>327</v>
      </c>
      <c r="K59" t="s">
        <v>447</v>
      </c>
    </row>
    <row r="60" spans="1:11" x14ac:dyDescent="0.25">
      <c r="A60">
        <v>56</v>
      </c>
      <c r="B60" t="s">
        <v>326</v>
      </c>
      <c r="C60" t="s">
        <v>327</v>
      </c>
      <c r="D60" t="s">
        <v>132</v>
      </c>
      <c r="E60">
        <v>1</v>
      </c>
      <c r="F60" t="s">
        <v>11</v>
      </c>
      <c r="G60" t="s">
        <v>12</v>
      </c>
      <c r="H60">
        <v>4.4000000000000004</v>
      </c>
      <c r="I60">
        <v>287</v>
      </c>
      <c r="K60" t="s">
        <v>447</v>
      </c>
    </row>
    <row r="61" spans="1:11" x14ac:dyDescent="0.25">
      <c r="A61">
        <v>15</v>
      </c>
      <c r="B61" t="s">
        <v>243</v>
      </c>
      <c r="C61" t="s">
        <v>244</v>
      </c>
      <c r="D61" t="s">
        <v>10</v>
      </c>
      <c r="E61">
        <v>1</v>
      </c>
      <c r="F61" t="s">
        <v>11</v>
      </c>
      <c r="G61" t="s">
        <v>12</v>
      </c>
      <c r="H61">
        <v>3.7</v>
      </c>
      <c r="I61">
        <v>225</v>
      </c>
      <c r="K61" t="s">
        <v>447</v>
      </c>
    </row>
    <row r="62" spans="1:11" x14ac:dyDescent="0.25">
      <c r="A62">
        <v>74</v>
      </c>
      <c r="B62" t="s">
        <v>362</v>
      </c>
      <c r="C62" t="s">
        <v>363</v>
      </c>
      <c r="D62" t="s">
        <v>10</v>
      </c>
      <c r="E62">
        <v>1</v>
      </c>
      <c r="F62" t="s">
        <v>11</v>
      </c>
      <c r="G62" t="s">
        <v>12</v>
      </c>
      <c r="H62">
        <v>4.5</v>
      </c>
      <c r="I62">
        <v>219</v>
      </c>
      <c r="K62" t="s">
        <v>447</v>
      </c>
    </row>
    <row r="63" spans="1:11" x14ac:dyDescent="0.25">
      <c r="A63">
        <v>55</v>
      </c>
      <c r="B63" t="s">
        <v>324</v>
      </c>
      <c r="C63" t="s">
        <v>325</v>
      </c>
      <c r="D63" t="s">
        <v>10</v>
      </c>
      <c r="E63">
        <v>1</v>
      </c>
      <c r="F63" t="s">
        <v>11</v>
      </c>
      <c r="G63" t="s">
        <v>12</v>
      </c>
      <c r="H63">
        <v>4.5</v>
      </c>
      <c r="I63">
        <v>209</v>
      </c>
      <c r="K63" t="s">
        <v>447</v>
      </c>
    </row>
    <row r="64" spans="1:11" x14ac:dyDescent="0.25">
      <c r="A64">
        <v>21</v>
      </c>
      <c r="B64" t="s">
        <v>255</v>
      </c>
      <c r="C64" t="s">
        <v>256</v>
      </c>
      <c r="D64" t="s">
        <v>132</v>
      </c>
      <c r="E64">
        <v>1</v>
      </c>
      <c r="F64" t="s">
        <v>11</v>
      </c>
      <c r="G64" t="s">
        <v>12</v>
      </c>
      <c r="H64">
        <v>4.5</v>
      </c>
      <c r="I64">
        <v>200</v>
      </c>
      <c r="K64" t="s">
        <v>447</v>
      </c>
    </row>
    <row r="65" spans="1:11" x14ac:dyDescent="0.25">
      <c r="A65">
        <v>88</v>
      </c>
      <c r="B65" t="s">
        <v>189</v>
      </c>
      <c r="C65" t="s">
        <v>190</v>
      </c>
      <c r="D65" t="s">
        <v>15</v>
      </c>
      <c r="E65">
        <v>1</v>
      </c>
      <c r="F65" t="s">
        <v>11</v>
      </c>
      <c r="G65" t="s">
        <v>12</v>
      </c>
      <c r="H65">
        <v>4.3</v>
      </c>
      <c r="I65">
        <v>179</v>
      </c>
      <c r="K65" t="s">
        <v>447</v>
      </c>
    </row>
    <row r="66" spans="1:11" x14ac:dyDescent="0.25">
      <c r="A66">
        <v>92</v>
      </c>
      <c r="B66" t="s">
        <v>197</v>
      </c>
      <c r="C66" t="s">
        <v>198</v>
      </c>
      <c r="D66" t="s">
        <v>15</v>
      </c>
      <c r="E66">
        <v>1</v>
      </c>
      <c r="F66" t="s">
        <v>11</v>
      </c>
      <c r="G66" t="s">
        <v>12</v>
      </c>
      <c r="H66">
        <v>4.5999999999999996</v>
      </c>
      <c r="I66">
        <v>172</v>
      </c>
      <c r="K66" t="s">
        <v>447</v>
      </c>
    </row>
    <row r="67" spans="1:11" x14ac:dyDescent="0.25">
      <c r="A67">
        <v>86</v>
      </c>
      <c r="B67" t="s">
        <v>386</v>
      </c>
      <c r="C67" t="s">
        <v>387</v>
      </c>
      <c r="D67" t="s">
        <v>10</v>
      </c>
      <c r="E67">
        <v>1</v>
      </c>
      <c r="F67" t="s">
        <v>11</v>
      </c>
      <c r="G67" t="s">
        <v>12</v>
      </c>
      <c r="H67">
        <v>4.5999999999999996</v>
      </c>
      <c r="I67">
        <v>165</v>
      </c>
      <c r="K67" t="s">
        <v>447</v>
      </c>
    </row>
    <row r="68" spans="1:11" x14ac:dyDescent="0.25">
      <c r="A68">
        <v>8</v>
      </c>
      <c r="B68" t="s">
        <v>229</v>
      </c>
      <c r="C68" t="s">
        <v>230</v>
      </c>
      <c r="D68" t="s">
        <v>15</v>
      </c>
      <c r="E68">
        <v>1</v>
      </c>
      <c r="F68" t="s">
        <v>11</v>
      </c>
      <c r="G68" t="s">
        <v>12</v>
      </c>
      <c r="H68">
        <v>4.5</v>
      </c>
      <c r="I68">
        <v>156</v>
      </c>
      <c r="K68" t="s">
        <v>447</v>
      </c>
    </row>
    <row r="69" spans="1:11" x14ac:dyDescent="0.25">
      <c r="A69">
        <v>70</v>
      </c>
      <c r="B69" t="s">
        <v>354</v>
      </c>
      <c r="C69" t="s">
        <v>355</v>
      </c>
      <c r="D69" t="s">
        <v>10</v>
      </c>
      <c r="E69">
        <v>1</v>
      </c>
      <c r="F69" t="s">
        <v>11</v>
      </c>
      <c r="G69" t="s">
        <v>12</v>
      </c>
      <c r="H69">
        <v>4.5</v>
      </c>
      <c r="I69">
        <v>150</v>
      </c>
      <c r="K69" t="s">
        <v>447</v>
      </c>
    </row>
    <row r="70" spans="1:11" x14ac:dyDescent="0.25">
      <c r="A70">
        <v>13</v>
      </c>
      <c r="B70" t="s">
        <v>239</v>
      </c>
      <c r="C70" t="s">
        <v>240</v>
      </c>
      <c r="D70" t="s">
        <v>15</v>
      </c>
      <c r="E70">
        <v>1</v>
      </c>
      <c r="F70" t="s">
        <v>11</v>
      </c>
      <c r="G70" t="s">
        <v>12</v>
      </c>
      <c r="H70">
        <v>4.7</v>
      </c>
      <c r="I70">
        <v>143</v>
      </c>
      <c r="K70" t="s">
        <v>447</v>
      </c>
    </row>
    <row r="71" spans="1:11" x14ac:dyDescent="0.25">
      <c r="A71">
        <v>31</v>
      </c>
      <c r="B71" t="s">
        <v>275</v>
      </c>
      <c r="C71" t="s">
        <v>276</v>
      </c>
      <c r="D71" t="s">
        <v>10</v>
      </c>
      <c r="E71">
        <v>1</v>
      </c>
      <c r="F71" t="s">
        <v>11</v>
      </c>
      <c r="G71" t="s">
        <v>12</v>
      </c>
      <c r="H71">
        <v>4.4000000000000004</v>
      </c>
      <c r="I71">
        <v>124</v>
      </c>
      <c r="K71" t="s">
        <v>447</v>
      </c>
    </row>
    <row r="72" spans="1:11" x14ac:dyDescent="0.25">
      <c r="A72">
        <v>76</v>
      </c>
      <c r="B72" t="s">
        <v>366</v>
      </c>
      <c r="C72" t="s">
        <v>367</v>
      </c>
      <c r="D72" t="s">
        <v>10</v>
      </c>
      <c r="E72">
        <v>1</v>
      </c>
      <c r="F72" t="s">
        <v>11</v>
      </c>
      <c r="G72" t="s">
        <v>12</v>
      </c>
      <c r="H72">
        <v>4.5999999999999996</v>
      </c>
      <c r="I72">
        <v>124</v>
      </c>
      <c r="K72" t="s">
        <v>447</v>
      </c>
    </row>
    <row r="73" spans="1:11" x14ac:dyDescent="0.25">
      <c r="A73">
        <v>67</v>
      </c>
      <c r="B73" t="s">
        <v>348</v>
      </c>
      <c r="C73" t="s">
        <v>349</v>
      </c>
      <c r="D73" t="s">
        <v>10</v>
      </c>
      <c r="E73">
        <v>1</v>
      </c>
      <c r="F73" t="s">
        <v>11</v>
      </c>
      <c r="G73" t="s">
        <v>12</v>
      </c>
      <c r="H73">
        <v>4.5999999999999996</v>
      </c>
      <c r="I73">
        <v>107</v>
      </c>
      <c r="K73" t="s">
        <v>447</v>
      </c>
    </row>
    <row r="74" spans="1:11" x14ac:dyDescent="0.25">
      <c r="A74">
        <v>95</v>
      </c>
      <c r="B74" t="s">
        <v>404</v>
      </c>
      <c r="C74" t="s">
        <v>405</v>
      </c>
      <c r="D74" t="s">
        <v>15</v>
      </c>
      <c r="E74">
        <v>1</v>
      </c>
      <c r="F74" t="s">
        <v>11</v>
      </c>
      <c r="G74" t="s">
        <v>12</v>
      </c>
      <c r="H74">
        <v>4.5999999999999996</v>
      </c>
      <c r="I74">
        <v>102</v>
      </c>
      <c r="K74" t="s">
        <v>447</v>
      </c>
    </row>
    <row r="75" spans="1:11" x14ac:dyDescent="0.25">
      <c r="A75">
        <v>13</v>
      </c>
      <c r="B75" t="s">
        <v>38</v>
      </c>
      <c r="C75" t="s">
        <v>39</v>
      </c>
      <c r="D75" t="s">
        <v>15</v>
      </c>
      <c r="E75">
        <v>1</v>
      </c>
      <c r="F75" t="s">
        <v>11</v>
      </c>
      <c r="G75" t="s">
        <v>12</v>
      </c>
      <c r="H75">
        <v>4.7</v>
      </c>
      <c r="I75">
        <v>97</v>
      </c>
      <c r="J75" t="s">
        <v>168</v>
      </c>
      <c r="K75" t="s">
        <v>39</v>
      </c>
    </row>
    <row r="76" spans="1:11" x14ac:dyDescent="0.25">
      <c r="A76">
        <v>87</v>
      </c>
      <c r="B76" t="s">
        <v>388</v>
      </c>
      <c r="C76" t="s">
        <v>389</v>
      </c>
      <c r="D76" t="s">
        <v>10</v>
      </c>
      <c r="E76">
        <v>1</v>
      </c>
      <c r="F76" t="s">
        <v>11</v>
      </c>
      <c r="G76" t="s">
        <v>12</v>
      </c>
      <c r="H76">
        <v>4.5</v>
      </c>
      <c r="I76">
        <v>85</v>
      </c>
      <c r="K76" t="s">
        <v>447</v>
      </c>
    </row>
    <row r="77" spans="1:11" x14ac:dyDescent="0.25">
      <c r="A77">
        <v>40</v>
      </c>
      <c r="B77" t="s">
        <v>92</v>
      </c>
      <c r="C77" t="s">
        <v>93</v>
      </c>
      <c r="D77" t="s">
        <v>10</v>
      </c>
      <c r="E77">
        <v>1</v>
      </c>
      <c r="F77" t="s">
        <v>11</v>
      </c>
      <c r="G77" t="s">
        <v>12</v>
      </c>
      <c r="H77">
        <v>4.4000000000000004</v>
      </c>
      <c r="I77">
        <v>76</v>
      </c>
      <c r="J77" t="s">
        <v>385</v>
      </c>
      <c r="K77" t="s">
        <v>93</v>
      </c>
    </row>
    <row r="78" spans="1:11" x14ac:dyDescent="0.25">
      <c r="A78">
        <v>79</v>
      </c>
      <c r="B78" t="s">
        <v>372</v>
      </c>
      <c r="C78" t="s">
        <v>373</v>
      </c>
      <c r="D78" t="s">
        <v>132</v>
      </c>
      <c r="E78">
        <v>1</v>
      </c>
      <c r="F78" t="s">
        <v>11</v>
      </c>
      <c r="G78" t="s">
        <v>12</v>
      </c>
      <c r="H78">
        <v>4.7</v>
      </c>
      <c r="I78">
        <v>69</v>
      </c>
      <c r="K78" t="s">
        <v>447</v>
      </c>
    </row>
    <row r="79" spans="1:11" x14ac:dyDescent="0.25">
      <c r="A79">
        <v>80</v>
      </c>
      <c r="B79" t="s">
        <v>374</v>
      </c>
      <c r="C79" t="s">
        <v>375</v>
      </c>
      <c r="D79" t="s">
        <v>10</v>
      </c>
      <c r="E79">
        <v>1</v>
      </c>
      <c r="F79" t="s">
        <v>11</v>
      </c>
      <c r="G79" t="s">
        <v>12</v>
      </c>
      <c r="H79">
        <v>4.5999999999999996</v>
      </c>
      <c r="I79">
        <v>64</v>
      </c>
      <c r="K79" t="s">
        <v>447</v>
      </c>
    </row>
    <row r="80" spans="1:11" x14ac:dyDescent="0.25">
      <c r="A80">
        <v>59</v>
      </c>
      <c r="B80" t="s">
        <v>130</v>
      </c>
      <c r="C80" t="s">
        <v>131</v>
      </c>
      <c r="D80" t="s">
        <v>132</v>
      </c>
      <c r="E80">
        <v>1</v>
      </c>
      <c r="F80" t="s">
        <v>11</v>
      </c>
      <c r="G80" t="s">
        <v>12</v>
      </c>
      <c r="H80">
        <v>4.5</v>
      </c>
      <c r="I80">
        <v>63</v>
      </c>
      <c r="K80" t="s">
        <v>447</v>
      </c>
    </row>
    <row r="81" spans="1:11" x14ac:dyDescent="0.25">
      <c r="A81">
        <v>0</v>
      </c>
      <c r="B81" t="s">
        <v>211</v>
      </c>
      <c r="C81" t="s">
        <v>415</v>
      </c>
      <c r="D81" t="s">
        <v>10</v>
      </c>
      <c r="E81">
        <v>1</v>
      </c>
      <c r="F81" t="s">
        <v>11</v>
      </c>
      <c r="G81" t="s">
        <v>12</v>
      </c>
      <c r="H81">
        <v>4.7</v>
      </c>
      <c r="I81">
        <v>63</v>
      </c>
      <c r="K81" t="s">
        <v>447</v>
      </c>
    </row>
    <row r="82" spans="1:11" x14ac:dyDescent="0.25">
      <c r="A82">
        <v>65</v>
      </c>
      <c r="B82" t="s">
        <v>344</v>
      </c>
      <c r="C82" t="s">
        <v>345</v>
      </c>
      <c r="D82" t="s">
        <v>15</v>
      </c>
      <c r="E82">
        <v>1</v>
      </c>
      <c r="F82" t="s">
        <v>11</v>
      </c>
      <c r="G82" t="s">
        <v>12</v>
      </c>
      <c r="H82">
        <v>4.7</v>
      </c>
      <c r="I82">
        <v>61</v>
      </c>
      <c r="K82" t="s">
        <v>447</v>
      </c>
    </row>
    <row r="83" spans="1:11" x14ac:dyDescent="0.25">
      <c r="A83">
        <v>65</v>
      </c>
      <c r="B83" t="s">
        <v>143</v>
      </c>
      <c r="C83" t="s">
        <v>144</v>
      </c>
      <c r="D83" t="s">
        <v>15</v>
      </c>
      <c r="E83">
        <v>1</v>
      </c>
      <c r="F83" t="s">
        <v>11</v>
      </c>
      <c r="G83" t="s">
        <v>12</v>
      </c>
      <c r="H83">
        <v>4.3</v>
      </c>
      <c r="I83">
        <v>58</v>
      </c>
      <c r="K83" t="s">
        <v>447</v>
      </c>
    </row>
    <row r="84" spans="1:11" x14ac:dyDescent="0.25">
      <c r="A84">
        <v>78</v>
      </c>
      <c r="B84" t="s">
        <v>169</v>
      </c>
      <c r="C84" t="s">
        <v>170</v>
      </c>
      <c r="D84" t="s">
        <v>15</v>
      </c>
      <c r="E84">
        <v>1</v>
      </c>
      <c r="F84" t="s">
        <v>11</v>
      </c>
      <c r="G84" t="s">
        <v>12</v>
      </c>
      <c r="H84">
        <v>4.0999999999999996</v>
      </c>
      <c r="I84">
        <v>53</v>
      </c>
      <c r="K84" t="s">
        <v>447</v>
      </c>
    </row>
    <row r="85" spans="1:11" x14ac:dyDescent="0.25">
      <c r="A85">
        <v>98</v>
      </c>
      <c r="B85" t="s">
        <v>410</v>
      </c>
      <c r="C85" t="s">
        <v>411</v>
      </c>
      <c r="D85" t="s">
        <v>15</v>
      </c>
      <c r="E85">
        <v>1</v>
      </c>
      <c r="F85" t="s">
        <v>11</v>
      </c>
      <c r="G85" t="s">
        <v>12</v>
      </c>
      <c r="H85">
        <v>4.8</v>
      </c>
      <c r="I85">
        <v>49</v>
      </c>
      <c r="K85" t="s">
        <v>447</v>
      </c>
    </row>
    <row r="86" spans="1:11" x14ac:dyDescent="0.25">
      <c r="A86">
        <v>49</v>
      </c>
      <c r="B86" t="s">
        <v>312</v>
      </c>
      <c r="C86" t="s">
        <v>313</v>
      </c>
      <c r="D86" t="s">
        <v>15</v>
      </c>
      <c r="E86">
        <v>1</v>
      </c>
      <c r="F86" t="s">
        <v>11</v>
      </c>
      <c r="G86" t="s">
        <v>12</v>
      </c>
      <c r="H86">
        <v>4.7</v>
      </c>
      <c r="I86">
        <v>49</v>
      </c>
      <c r="K86" t="s">
        <v>447</v>
      </c>
    </row>
    <row r="87" spans="1:11" x14ac:dyDescent="0.25">
      <c r="A87">
        <v>52</v>
      </c>
      <c r="B87" t="s">
        <v>318</v>
      </c>
      <c r="C87" t="s">
        <v>319</v>
      </c>
      <c r="D87" t="s">
        <v>10</v>
      </c>
      <c r="E87">
        <v>1</v>
      </c>
      <c r="F87" t="s">
        <v>11</v>
      </c>
      <c r="G87" t="s">
        <v>12</v>
      </c>
      <c r="H87">
        <v>4.7</v>
      </c>
      <c r="I87">
        <v>48</v>
      </c>
      <c r="K87" t="s">
        <v>447</v>
      </c>
    </row>
    <row r="88" spans="1:11" x14ac:dyDescent="0.25">
      <c r="A88">
        <v>25</v>
      </c>
      <c r="B88" t="s">
        <v>263</v>
      </c>
      <c r="C88" t="s">
        <v>264</v>
      </c>
      <c r="D88" t="s">
        <v>15</v>
      </c>
      <c r="E88">
        <v>1</v>
      </c>
      <c r="F88" t="s">
        <v>11</v>
      </c>
      <c r="G88" t="s">
        <v>12</v>
      </c>
      <c r="H88">
        <v>4.5999999999999996</v>
      </c>
      <c r="I88">
        <v>45</v>
      </c>
      <c r="K88" t="s">
        <v>447</v>
      </c>
    </row>
    <row r="89" spans="1:11" x14ac:dyDescent="0.25">
      <c r="A89">
        <v>83</v>
      </c>
      <c r="B89" t="s">
        <v>179</v>
      </c>
      <c r="C89" t="s">
        <v>180</v>
      </c>
      <c r="D89" t="s">
        <v>15</v>
      </c>
      <c r="E89">
        <v>1</v>
      </c>
      <c r="F89" t="s">
        <v>11</v>
      </c>
      <c r="G89" t="s">
        <v>12</v>
      </c>
      <c r="H89">
        <v>4.8</v>
      </c>
      <c r="I89">
        <v>39</v>
      </c>
      <c r="K89" t="s">
        <v>447</v>
      </c>
    </row>
    <row r="90" spans="1:11" x14ac:dyDescent="0.25">
      <c r="A90">
        <v>89</v>
      </c>
      <c r="B90" t="s">
        <v>392</v>
      </c>
      <c r="C90" t="s">
        <v>393</v>
      </c>
      <c r="D90" t="s">
        <v>15</v>
      </c>
      <c r="E90">
        <v>1</v>
      </c>
      <c r="F90" t="s">
        <v>11</v>
      </c>
      <c r="G90" t="s">
        <v>12</v>
      </c>
      <c r="H90">
        <v>4.8</v>
      </c>
      <c r="I90">
        <v>36</v>
      </c>
      <c r="K90" t="s">
        <v>447</v>
      </c>
    </row>
    <row r="91" spans="1:11" x14ac:dyDescent="0.25">
      <c r="A91">
        <v>53</v>
      </c>
      <c r="B91" t="s">
        <v>320</v>
      </c>
      <c r="C91" t="s">
        <v>321</v>
      </c>
      <c r="D91" t="s">
        <v>132</v>
      </c>
      <c r="E91">
        <v>1</v>
      </c>
      <c r="F91" t="s">
        <v>11</v>
      </c>
      <c r="G91" t="s">
        <v>12</v>
      </c>
      <c r="H91">
        <v>4.8</v>
      </c>
      <c r="I91">
        <v>33</v>
      </c>
      <c r="K91" t="s">
        <v>447</v>
      </c>
    </row>
    <row r="92" spans="1:11" x14ac:dyDescent="0.25">
      <c r="A92">
        <v>97</v>
      </c>
      <c r="B92" t="s">
        <v>207</v>
      </c>
      <c r="C92" t="s">
        <v>208</v>
      </c>
      <c r="D92" t="s">
        <v>10</v>
      </c>
      <c r="E92">
        <v>1</v>
      </c>
      <c r="F92" t="s">
        <v>11</v>
      </c>
      <c r="G92" t="s">
        <v>12</v>
      </c>
      <c r="H92">
        <v>4.9000000000000004</v>
      </c>
      <c r="I92">
        <v>32</v>
      </c>
      <c r="K92" t="s">
        <v>447</v>
      </c>
    </row>
    <row r="93" spans="1:11" x14ac:dyDescent="0.25">
      <c r="A93">
        <v>11</v>
      </c>
      <c r="B93" t="s">
        <v>34</v>
      </c>
      <c r="C93" t="s">
        <v>35</v>
      </c>
      <c r="D93" t="s">
        <v>15</v>
      </c>
      <c r="E93">
        <v>1</v>
      </c>
      <c r="F93" t="s">
        <v>11</v>
      </c>
      <c r="G93" t="s">
        <v>12</v>
      </c>
      <c r="H93">
        <v>4.5</v>
      </c>
      <c r="I93">
        <v>28</v>
      </c>
      <c r="J93" t="s">
        <v>160</v>
      </c>
      <c r="K93" t="s">
        <v>35</v>
      </c>
    </row>
    <row r="94" spans="1:11" x14ac:dyDescent="0.25">
      <c r="A94">
        <v>47</v>
      </c>
      <c r="B94" t="s">
        <v>308</v>
      </c>
      <c r="C94" t="s">
        <v>309</v>
      </c>
      <c r="D94" t="s">
        <v>15</v>
      </c>
      <c r="E94">
        <v>1</v>
      </c>
      <c r="F94" t="s">
        <v>11</v>
      </c>
      <c r="G94" t="s">
        <v>12</v>
      </c>
      <c r="H94">
        <v>4.5999999999999996</v>
      </c>
      <c r="I94">
        <v>28</v>
      </c>
      <c r="K94" t="s">
        <v>447</v>
      </c>
    </row>
    <row r="95" spans="1:11" x14ac:dyDescent="0.25">
      <c r="A95">
        <v>63</v>
      </c>
      <c r="B95" t="s">
        <v>340</v>
      </c>
      <c r="C95" t="s">
        <v>341</v>
      </c>
      <c r="D95" t="s">
        <v>15</v>
      </c>
      <c r="E95">
        <v>1</v>
      </c>
      <c r="F95" t="s">
        <v>11</v>
      </c>
      <c r="G95" t="s">
        <v>12</v>
      </c>
      <c r="H95">
        <v>4.4000000000000004</v>
      </c>
      <c r="I95">
        <v>27</v>
      </c>
      <c r="K95" t="s">
        <v>447</v>
      </c>
    </row>
    <row r="96" spans="1:11" x14ac:dyDescent="0.25">
      <c r="A96">
        <v>7</v>
      </c>
      <c r="B96" t="s">
        <v>426</v>
      </c>
      <c r="C96" t="s">
        <v>429</v>
      </c>
      <c r="D96" t="s">
        <v>10</v>
      </c>
      <c r="E96">
        <v>1</v>
      </c>
      <c r="F96" t="s">
        <v>11</v>
      </c>
      <c r="G96" t="s">
        <v>12</v>
      </c>
      <c r="H96">
        <v>4.5999999999999996</v>
      </c>
      <c r="I96">
        <v>26</v>
      </c>
      <c r="K96" t="s">
        <v>447</v>
      </c>
    </row>
    <row r="97" spans="1:11" x14ac:dyDescent="0.25">
      <c r="A97">
        <v>28</v>
      </c>
      <c r="B97" t="s">
        <v>68</v>
      </c>
      <c r="C97" t="s">
        <v>69</v>
      </c>
      <c r="D97" t="s">
        <v>10</v>
      </c>
      <c r="E97">
        <v>1</v>
      </c>
      <c r="F97" t="s">
        <v>11</v>
      </c>
      <c r="G97" t="s">
        <v>12</v>
      </c>
      <c r="H97">
        <v>4.5</v>
      </c>
      <c r="I97">
        <v>24</v>
      </c>
      <c r="J97" t="s">
        <v>317</v>
      </c>
      <c r="K97" t="s">
        <v>69</v>
      </c>
    </row>
    <row r="98" spans="1:11" x14ac:dyDescent="0.25">
      <c r="A98">
        <v>56</v>
      </c>
      <c r="B98" t="s">
        <v>124</v>
      </c>
      <c r="C98" t="s">
        <v>125</v>
      </c>
      <c r="D98" t="s">
        <v>15</v>
      </c>
      <c r="E98">
        <v>1</v>
      </c>
      <c r="F98" t="s">
        <v>11</v>
      </c>
      <c r="G98" t="s">
        <v>12</v>
      </c>
      <c r="H98">
        <v>4.4000000000000004</v>
      </c>
      <c r="I98">
        <v>24</v>
      </c>
      <c r="K98" t="s">
        <v>447</v>
      </c>
    </row>
    <row r="99" spans="1:11" x14ac:dyDescent="0.25">
      <c r="A99">
        <v>8</v>
      </c>
      <c r="B99" t="s">
        <v>28</v>
      </c>
      <c r="C99" t="s">
        <v>29</v>
      </c>
      <c r="D99" t="s">
        <v>10</v>
      </c>
      <c r="E99">
        <v>1</v>
      </c>
      <c r="F99" t="s">
        <v>11</v>
      </c>
      <c r="G99" t="s">
        <v>12</v>
      </c>
      <c r="H99">
        <v>4.8</v>
      </c>
      <c r="I99">
        <v>23</v>
      </c>
      <c r="J99" t="s">
        <v>97</v>
      </c>
      <c r="K99" t="s">
        <v>29</v>
      </c>
    </row>
    <row r="100" spans="1:11" x14ac:dyDescent="0.25">
      <c r="A100">
        <v>2</v>
      </c>
      <c r="B100" t="s">
        <v>16</v>
      </c>
      <c r="C100" t="s">
        <v>17</v>
      </c>
      <c r="D100" t="s">
        <v>15</v>
      </c>
      <c r="E100">
        <v>1</v>
      </c>
      <c r="F100" t="s">
        <v>11</v>
      </c>
      <c r="G100" t="s">
        <v>12</v>
      </c>
      <c r="H100">
        <v>4.7</v>
      </c>
      <c r="I100">
        <v>21</v>
      </c>
      <c r="J100" t="s">
        <v>43</v>
      </c>
      <c r="K100" t="s">
        <v>17</v>
      </c>
    </row>
    <row r="101" spans="1:11" x14ac:dyDescent="0.25">
      <c r="A101">
        <v>58</v>
      </c>
      <c r="B101" t="s">
        <v>330</v>
      </c>
      <c r="C101" t="s">
        <v>331</v>
      </c>
      <c r="D101" t="s">
        <v>10</v>
      </c>
      <c r="E101">
        <v>1</v>
      </c>
      <c r="F101" t="s">
        <v>11</v>
      </c>
      <c r="G101" t="s">
        <v>12</v>
      </c>
      <c r="H101">
        <v>4.5999999999999996</v>
      </c>
      <c r="I101">
        <v>18</v>
      </c>
      <c r="K101" t="s">
        <v>447</v>
      </c>
    </row>
    <row r="102" spans="1:11" x14ac:dyDescent="0.25">
      <c r="A102">
        <v>16</v>
      </c>
      <c r="B102" t="s">
        <v>44</v>
      </c>
      <c r="C102" t="s">
        <v>45</v>
      </c>
      <c r="D102" t="s">
        <v>10</v>
      </c>
      <c r="E102">
        <v>1</v>
      </c>
      <c r="F102" t="s">
        <v>11</v>
      </c>
      <c r="G102" t="s">
        <v>12</v>
      </c>
      <c r="H102">
        <v>4.4000000000000004</v>
      </c>
      <c r="I102">
        <v>16</v>
      </c>
      <c r="J102" t="s">
        <v>232</v>
      </c>
      <c r="K102" t="s">
        <v>45</v>
      </c>
    </row>
    <row r="103" spans="1:11" x14ac:dyDescent="0.25">
      <c r="A103">
        <v>32</v>
      </c>
      <c r="B103" t="s">
        <v>76</v>
      </c>
      <c r="C103" t="s">
        <v>77</v>
      </c>
      <c r="D103" t="s">
        <v>10</v>
      </c>
      <c r="E103">
        <v>1</v>
      </c>
      <c r="F103" t="s">
        <v>11</v>
      </c>
      <c r="G103" t="s">
        <v>12</v>
      </c>
      <c r="H103">
        <v>4.3</v>
      </c>
      <c r="I103">
        <v>14</v>
      </c>
      <c r="J103" t="s">
        <v>359</v>
      </c>
      <c r="K103" t="s">
        <v>77</v>
      </c>
    </row>
    <row r="104" spans="1:11" x14ac:dyDescent="0.25">
      <c r="A104">
        <v>46</v>
      </c>
      <c r="B104" t="s">
        <v>104</v>
      </c>
      <c r="C104" t="s">
        <v>105</v>
      </c>
      <c r="D104" t="s">
        <v>10</v>
      </c>
      <c r="E104">
        <v>1</v>
      </c>
      <c r="F104" t="s">
        <v>11</v>
      </c>
      <c r="G104" t="s">
        <v>12</v>
      </c>
      <c r="H104">
        <v>4.8</v>
      </c>
      <c r="I104">
        <v>14</v>
      </c>
      <c r="J104" t="s">
        <v>31</v>
      </c>
      <c r="K104" t="s">
        <v>105</v>
      </c>
    </row>
    <row r="105" spans="1:11" x14ac:dyDescent="0.25">
      <c r="A105">
        <v>23</v>
      </c>
      <c r="B105" t="s">
        <v>58</v>
      </c>
      <c r="C105" t="s">
        <v>59</v>
      </c>
      <c r="D105" t="s">
        <v>15</v>
      </c>
      <c r="E105">
        <v>1</v>
      </c>
      <c r="F105" t="s">
        <v>11</v>
      </c>
      <c r="G105" t="s">
        <v>12</v>
      </c>
      <c r="H105">
        <v>4.9000000000000004</v>
      </c>
      <c r="I105">
        <v>11</v>
      </c>
      <c r="J105" t="s">
        <v>295</v>
      </c>
      <c r="K105" t="s">
        <v>59</v>
      </c>
    </row>
    <row r="106" spans="1:11" x14ac:dyDescent="0.25">
      <c r="A106">
        <v>6</v>
      </c>
      <c r="B106" t="s">
        <v>24</v>
      </c>
      <c r="C106" t="s">
        <v>25</v>
      </c>
      <c r="D106" t="s">
        <v>15</v>
      </c>
      <c r="E106">
        <v>1</v>
      </c>
      <c r="F106" t="s">
        <v>11</v>
      </c>
      <c r="G106" t="s">
        <v>12</v>
      </c>
      <c r="H106">
        <v>4.8</v>
      </c>
      <c r="I106">
        <v>10</v>
      </c>
      <c r="J106" t="s">
        <v>75</v>
      </c>
      <c r="K106" t="s">
        <v>25</v>
      </c>
    </row>
    <row r="107" spans="1:11" x14ac:dyDescent="0.25">
      <c r="A107">
        <v>78</v>
      </c>
      <c r="B107" t="s">
        <v>370</v>
      </c>
      <c r="C107" t="s">
        <v>371</v>
      </c>
      <c r="D107" t="s">
        <v>15</v>
      </c>
      <c r="E107">
        <v>1</v>
      </c>
      <c r="F107" t="s">
        <v>11</v>
      </c>
      <c r="G107" t="s">
        <v>12</v>
      </c>
      <c r="H107">
        <v>4.9000000000000004</v>
      </c>
      <c r="I107">
        <v>10</v>
      </c>
      <c r="K107" t="s">
        <v>447</v>
      </c>
    </row>
    <row r="108" spans="1:11" x14ac:dyDescent="0.25">
      <c r="A108">
        <v>22</v>
      </c>
      <c r="B108" t="s">
        <v>56</v>
      </c>
      <c r="C108" t="s">
        <v>57</v>
      </c>
      <c r="D108" t="s">
        <v>10</v>
      </c>
      <c r="E108">
        <v>1</v>
      </c>
      <c r="F108" t="s">
        <v>11</v>
      </c>
      <c r="G108" t="s">
        <v>12</v>
      </c>
      <c r="H108">
        <v>4.5999999999999996</v>
      </c>
      <c r="I108">
        <v>9</v>
      </c>
      <c r="J108" t="s">
        <v>293</v>
      </c>
      <c r="K108" t="s">
        <v>57</v>
      </c>
    </row>
    <row r="109" spans="1:11" x14ac:dyDescent="0.25">
      <c r="A109">
        <v>94</v>
      </c>
      <c r="B109" t="s">
        <v>201</v>
      </c>
      <c r="C109" t="s">
        <v>202</v>
      </c>
      <c r="D109" t="s">
        <v>10</v>
      </c>
      <c r="E109">
        <v>1</v>
      </c>
      <c r="F109" t="s">
        <v>11</v>
      </c>
      <c r="G109" t="s">
        <v>12</v>
      </c>
      <c r="H109">
        <v>4.2</v>
      </c>
      <c r="I109">
        <v>9</v>
      </c>
      <c r="K109" t="s">
        <v>447</v>
      </c>
    </row>
    <row r="110" spans="1:11" x14ac:dyDescent="0.25">
      <c r="A110">
        <v>0</v>
      </c>
      <c r="B110" t="s">
        <v>8</v>
      </c>
      <c r="C110" t="s">
        <v>9</v>
      </c>
      <c r="D110" t="s">
        <v>10</v>
      </c>
      <c r="E110">
        <v>2</v>
      </c>
      <c r="F110" t="s">
        <v>11</v>
      </c>
      <c r="G110" t="s">
        <v>12</v>
      </c>
      <c r="H110">
        <v>4.9000000000000004</v>
      </c>
      <c r="I110">
        <v>8</v>
      </c>
      <c r="J110" t="s">
        <v>14</v>
      </c>
      <c r="K110" t="s">
        <v>9</v>
      </c>
    </row>
    <row r="111" spans="1:11" x14ac:dyDescent="0.25">
      <c r="A111">
        <v>70</v>
      </c>
      <c r="B111" t="s">
        <v>153</v>
      </c>
      <c r="C111" t="s">
        <v>154</v>
      </c>
      <c r="D111" t="s">
        <v>10</v>
      </c>
      <c r="E111">
        <v>1</v>
      </c>
      <c r="F111" t="s">
        <v>11</v>
      </c>
      <c r="G111" t="s">
        <v>12</v>
      </c>
      <c r="H111">
        <v>4.5999999999999996</v>
      </c>
      <c r="I111">
        <v>8</v>
      </c>
      <c r="K111" t="s">
        <v>447</v>
      </c>
    </row>
    <row r="112" spans="1:11" x14ac:dyDescent="0.25">
      <c r="A112">
        <v>71</v>
      </c>
      <c r="B112" t="s">
        <v>155</v>
      </c>
      <c r="C112" t="s">
        <v>156</v>
      </c>
      <c r="D112" t="s">
        <v>15</v>
      </c>
      <c r="E112">
        <v>2</v>
      </c>
      <c r="F112" t="s">
        <v>11</v>
      </c>
      <c r="G112" t="s">
        <v>12</v>
      </c>
      <c r="H112">
        <v>4.4000000000000004</v>
      </c>
      <c r="I112">
        <v>7</v>
      </c>
      <c r="K112" t="s">
        <v>447</v>
      </c>
    </row>
    <row r="113" spans="1:11" x14ac:dyDescent="0.25">
      <c r="A113">
        <v>80</v>
      </c>
      <c r="B113" t="s">
        <v>173</v>
      </c>
      <c r="C113" t="s">
        <v>174</v>
      </c>
      <c r="D113" t="s">
        <v>10</v>
      </c>
      <c r="E113">
        <v>1</v>
      </c>
      <c r="F113" t="s">
        <v>11</v>
      </c>
      <c r="G113" t="s">
        <v>12</v>
      </c>
      <c r="H113">
        <v>4.7</v>
      </c>
      <c r="I113">
        <v>7</v>
      </c>
      <c r="K113" t="s">
        <v>447</v>
      </c>
    </row>
    <row r="114" spans="1:11" x14ac:dyDescent="0.25">
      <c r="A114">
        <v>33</v>
      </c>
      <c r="B114" t="s">
        <v>78</v>
      </c>
      <c r="C114" t="s">
        <v>79</v>
      </c>
      <c r="D114" t="s">
        <v>15</v>
      </c>
      <c r="E114">
        <v>1</v>
      </c>
      <c r="F114" t="s">
        <v>11</v>
      </c>
      <c r="G114" t="s">
        <v>12</v>
      </c>
      <c r="H114">
        <v>4.5</v>
      </c>
      <c r="I114">
        <v>6</v>
      </c>
      <c r="J114" t="s">
        <v>379</v>
      </c>
      <c r="K114" t="s">
        <v>79</v>
      </c>
    </row>
    <row r="115" spans="1:11" x14ac:dyDescent="0.25">
      <c r="A115">
        <v>53</v>
      </c>
      <c r="B115" t="s">
        <v>118</v>
      </c>
      <c r="C115" t="s">
        <v>119</v>
      </c>
      <c r="D115" t="s">
        <v>15</v>
      </c>
      <c r="E115">
        <v>2</v>
      </c>
      <c r="F115" t="s">
        <v>11</v>
      </c>
      <c r="G115" t="s">
        <v>12</v>
      </c>
      <c r="H115">
        <v>4.7</v>
      </c>
      <c r="I115">
        <v>6</v>
      </c>
      <c r="K115" t="s">
        <v>447</v>
      </c>
    </row>
    <row r="116" spans="1:11" x14ac:dyDescent="0.25">
      <c r="A116">
        <v>95</v>
      </c>
      <c r="B116" t="s">
        <v>203</v>
      </c>
      <c r="C116" t="s">
        <v>204</v>
      </c>
      <c r="D116" t="s">
        <v>10</v>
      </c>
      <c r="E116">
        <v>1</v>
      </c>
      <c r="F116" t="s">
        <v>11</v>
      </c>
      <c r="G116" t="s">
        <v>12</v>
      </c>
      <c r="H116">
        <v>4.4000000000000004</v>
      </c>
      <c r="I116">
        <v>5</v>
      </c>
      <c r="K116" t="s">
        <v>447</v>
      </c>
    </row>
    <row r="117" spans="1:11" x14ac:dyDescent="0.25">
      <c r="A117">
        <v>69</v>
      </c>
      <c r="B117" t="s">
        <v>151</v>
      </c>
      <c r="C117" t="s">
        <v>152</v>
      </c>
      <c r="D117" t="s">
        <v>132</v>
      </c>
      <c r="E117">
        <v>2</v>
      </c>
      <c r="F117" t="s">
        <v>11</v>
      </c>
      <c r="G117" t="s">
        <v>12</v>
      </c>
      <c r="H117">
        <v>3</v>
      </c>
      <c r="I117">
        <v>3</v>
      </c>
      <c r="K117" t="s">
        <v>447</v>
      </c>
    </row>
    <row r="118" spans="1:11" x14ac:dyDescent="0.25">
      <c r="A118">
        <v>82</v>
      </c>
      <c r="B118" t="s">
        <v>177</v>
      </c>
      <c r="C118" t="s">
        <v>178</v>
      </c>
      <c r="D118" t="s">
        <v>15</v>
      </c>
      <c r="E118">
        <v>2</v>
      </c>
      <c r="F118" t="s">
        <v>11</v>
      </c>
      <c r="G118" t="s">
        <v>12</v>
      </c>
      <c r="H118">
        <v>4</v>
      </c>
      <c r="I118">
        <v>2</v>
      </c>
      <c r="K118" t="s">
        <v>447</v>
      </c>
    </row>
    <row r="119" spans="1:11" x14ac:dyDescent="0.25">
      <c r="A119">
        <v>10</v>
      </c>
      <c r="B119" t="s">
        <v>432</v>
      </c>
      <c r="C119" t="s">
        <v>435</v>
      </c>
      <c r="D119" t="s">
        <v>15</v>
      </c>
      <c r="E119">
        <v>2</v>
      </c>
      <c r="F119" t="s">
        <v>11</v>
      </c>
      <c r="G119" t="s">
        <v>12</v>
      </c>
      <c r="H119">
        <v>4</v>
      </c>
      <c r="I119">
        <v>2</v>
      </c>
      <c r="K119" t="s">
        <v>447</v>
      </c>
    </row>
    <row r="120" spans="1:11" x14ac:dyDescent="0.25">
      <c r="A120">
        <v>54</v>
      </c>
      <c r="B120" t="s">
        <v>120</v>
      </c>
      <c r="C120" t="s">
        <v>121</v>
      </c>
      <c r="D120" t="s">
        <v>10</v>
      </c>
      <c r="E120">
        <v>3</v>
      </c>
      <c r="F120" t="s">
        <v>11</v>
      </c>
      <c r="G120" t="s">
        <v>12</v>
      </c>
      <c r="H120">
        <v>5</v>
      </c>
      <c r="I120">
        <v>1</v>
      </c>
      <c r="K120" t="s">
        <v>447</v>
      </c>
    </row>
    <row r="121" spans="1:11" x14ac:dyDescent="0.25">
      <c r="A121">
        <v>74</v>
      </c>
      <c r="B121" t="s">
        <v>161</v>
      </c>
      <c r="C121" t="s">
        <v>162</v>
      </c>
      <c r="D121" t="s">
        <v>10</v>
      </c>
      <c r="E121">
        <v>2</v>
      </c>
      <c r="F121" t="s">
        <v>11</v>
      </c>
      <c r="G121" t="s">
        <v>12</v>
      </c>
      <c r="H121">
        <v>5</v>
      </c>
      <c r="I121">
        <v>1</v>
      </c>
      <c r="K121" t="s">
        <v>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topLeftCell="A81" workbookViewId="0">
      <selection activeCell="B92" sqref="B92"/>
    </sheetView>
  </sheetViews>
  <sheetFormatPr defaultRowHeight="15" x14ac:dyDescent="0.25"/>
  <cols>
    <col min="2" max="2" width="65.85546875" customWidth="1"/>
    <col min="3" max="3" width="99.85546875" bestFit="1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445</v>
      </c>
    </row>
    <row r="2" spans="1:11" x14ac:dyDescent="0.25">
      <c r="A2">
        <v>1</v>
      </c>
      <c r="B2" t="s">
        <v>13</v>
      </c>
      <c r="C2" t="s">
        <v>14</v>
      </c>
      <c r="D2" t="s">
        <v>15</v>
      </c>
      <c r="E2">
        <v>1</v>
      </c>
      <c r="F2" t="s">
        <v>11</v>
      </c>
      <c r="G2" t="s">
        <v>12</v>
      </c>
      <c r="H2">
        <v>4.5999999999999996</v>
      </c>
      <c r="I2">
        <v>260</v>
      </c>
      <c r="J2" t="s">
        <v>440</v>
      </c>
      <c r="K2" t="s">
        <v>447</v>
      </c>
    </row>
    <row r="3" spans="1:11" x14ac:dyDescent="0.25">
      <c r="A3">
        <v>9</v>
      </c>
      <c r="B3" t="s">
        <v>30</v>
      </c>
      <c r="C3" t="s">
        <v>31</v>
      </c>
      <c r="D3" t="s">
        <v>10</v>
      </c>
      <c r="E3">
        <v>1</v>
      </c>
      <c r="F3" t="s">
        <v>11</v>
      </c>
      <c r="G3" t="s">
        <v>12</v>
      </c>
      <c r="H3">
        <v>4.5999999999999996</v>
      </c>
      <c r="I3">
        <v>78</v>
      </c>
      <c r="J3" t="s">
        <v>117</v>
      </c>
      <c r="K3" t="s">
        <v>31</v>
      </c>
    </row>
    <row r="4" spans="1:11" x14ac:dyDescent="0.25">
      <c r="A4">
        <v>12</v>
      </c>
      <c r="B4" t="s">
        <v>36</v>
      </c>
      <c r="C4" t="s">
        <v>37</v>
      </c>
      <c r="D4" t="s">
        <v>10</v>
      </c>
      <c r="E4">
        <v>1</v>
      </c>
      <c r="F4" t="s">
        <v>11</v>
      </c>
      <c r="G4" t="s">
        <v>12</v>
      </c>
      <c r="H4">
        <v>4.0999999999999996</v>
      </c>
      <c r="I4">
        <v>45</v>
      </c>
      <c r="J4" t="s">
        <v>166</v>
      </c>
      <c r="K4" t="s">
        <v>37</v>
      </c>
    </row>
    <row r="5" spans="1:11" x14ac:dyDescent="0.25">
      <c r="A5">
        <v>15</v>
      </c>
      <c r="B5" t="s">
        <v>42</v>
      </c>
      <c r="C5" t="s">
        <v>43</v>
      </c>
      <c r="D5" t="s">
        <v>10</v>
      </c>
      <c r="E5">
        <v>1</v>
      </c>
      <c r="F5" t="s">
        <v>11</v>
      </c>
      <c r="G5" t="s">
        <v>12</v>
      </c>
      <c r="H5">
        <v>4.4000000000000004</v>
      </c>
      <c r="I5">
        <v>221</v>
      </c>
      <c r="J5" t="s">
        <v>212</v>
      </c>
      <c r="K5" t="s">
        <v>43</v>
      </c>
    </row>
    <row r="6" spans="1:11" x14ac:dyDescent="0.25">
      <c r="A6">
        <v>17</v>
      </c>
      <c r="B6" t="s">
        <v>46</v>
      </c>
      <c r="C6" t="s">
        <v>47</v>
      </c>
      <c r="D6" t="s">
        <v>15</v>
      </c>
      <c r="E6">
        <v>1</v>
      </c>
      <c r="F6" t="s">
        <v>11</v>
      </c>
      <c r="G6" t="s">
        <v>12</v>
      </c>
      <c r="H6">
        <v>4.4000000000000004</v>
      </c>
      <c r="I6">
        <v>45</v>
      </c>
      <c r="J6" t="s">
        <v>266</v>
      </c>
      <c r="K6" t="s">
        <v>47</v>
      </c>
    </row>
    <row r="7" spans="1:11" x14ac:dyDescent="0.25">
      <c r="A7">
        <v>21</v>
      </c>
      <c r="B7" t="s">
        <v>54</v>
      </c>
      <c r="C7" t="s">
        <v>55</v>
      </c>
      <c r="D7" t="s">
        <v>10</v>
      </c>
      <c r="E7">
        <v>1</v>
      </c>
      <c r="F7" t="s">
        <v>11</v>
      </c>
      <c r="G7" t="s">
        <v>12</v>
      </c>
      <c r="H7">
        <v>4.5</v>
      </c>
      <c r="I7">
        <v>368</v>
      </c>
      <c r="J7" t="s">
        <v>287</v>
      </c>
      <c r="K7" t="s">
        <v>55</v>
      </c>
    </row>
    <row r="8" spans="1:11" x14ac:dyDescent="0.25">
      <c r="A8">
        <v>27</v>
      </c>
      <c r="B8" t="s">
        <v>66</v>
      </c>
      <c r="C8" t="s">
        <v>67</v>
      </c>
      <c r="D8" t="s">
        <v>10</v>
      </c>
      <c r="E8">
        <v>1</v>
      </c>
      <c r="F8" t="s">
        <v>11</v>
      </c>
      <c r="G8" t="s">
        <v>12</v>
      </c>
      <c r="H8">
        <v>4.5999999999999996</v>
      </c>
      <c r="I8">
        <v>83</v>
      </c>
      <c r="J8" t="s">
        <v>307</v>
      </c>
      <c r="K8" t="s">
        <v>67</v>
      </c>
    </row>
    <row r="9" spans="1:11" x14ac:dyDescent="0.25">
      <c r="A9">
        <v>29</v>
      </c>
      <c r="B9" t="s">
        <v>70</v>
      </c>
      <c r="C9" t="s">
        <v>71</v>
      </c>
      <c r="D9" t="s">
        <v>10</v>
      </c>
      <c r="E9">
        <v>1</v>
      </c>
      <c r="F9" t="s">
        <v>11</v>
      </c>
      <c r="G9" t="s">
        <v>12</v>
      </c>
      <c r="H9">
        <v>4.7</v>
      </c>
      <c r="I9">
        <v>93</v>
      </c>
      <c r="J9" t="s">
        <v>337</v>
      </c>
      <c r="K9" t="s">
        <v>71</v>
      </c>
    </row>
    <row r="10" spans="1:11" x14ac:dyDescent="0.25">
      <c r="A10">
        <v>31</v>
      </c>
      <c r="B10" t="s">
        <v>74</v>
      </c>
      <c r="C10" t="s">
        <v>75</v>
      </c>
      <c r="D10" t="s">
        <v>10</v>
      </c>
      <c r="E10">
        <v>1</v>
      </c>
      <c r="F10" t="s">
        <v>11</v>
      </c>
      <c r="G10" t="s">
        <v>12</v>
      </c>
      <c r="H10">
        <v>4.5</v>
      </c>
      <c r="I10">
        <v>129</v>
      </c>
      <c r="J10" t="s">
        <v>353</v>
      </c>
      <c r="K10" t="s">
        <v>75</v>
      </c>
    </row>
    <row r="11" spans="1:11" x14ac:dyDescent="0.25">
      <c r="A11">
        <v>35</v>
      </c>
      <c r="B11" t="s">
        <v>82</v>
      </c>
      <c r="C11" t="s">
        <v>83</v>
      </c>
      <c r="D11" t="s">
        <v>15</v>
      </c>
      <c r="E11">
        <v>1</v>
      </c>
      <c r="F11" t="s">
        <v>11</v>
      </c>
      <c r="G11" t="s">
        <v>12</v>
      </c>
      <c r="H11">
        <v>4.5</v>
      </c>
      <c r="I11">
        <v>205</v>
      </c>
      <c r="J11" t="s">
        <v>401</v>
      </c>
      <c r="K11" t="s">
        <v>83</v>
      </c>
    </row>
    <row r="12" spans="1:11" x14ac:dyDescent="0.25">
      <c r="A12">
        <v>42</v>
      </c>
      <c r="B12" t="s">
        <v>96</v>
      </c>
      <c r="C12" t="s">
        <v>97</v>
      </c>
      <c r="D12" t="s">
        <v>10</v>
      </c>
      <c r="E12">
        <v>1</v>
      </c>
      <c r="F12" t="s">
        <v>11</v>
      </c>
      <c r="G12" t="s">
        <v>12</v>
      </c>
      <c r="H12">
        <v>4.8</v>
      </c>
      <c r="I12">
        <v>64</v>
      </c>
      <c r="J12" t="s">
        <v>115</v>
      </c>
      <c r="K12" t="s">
        <v>97</v>
      </c>
    </row>
    <row r="13" spans="1:11" x14ac:dyDescent="0.25">
      <c r="A13">
        <v>51</v>
      </c>
      <c r="B13" t="s">
        <v>114</v>
      </c>
      <c r="C13" t="s">
        <v>115</v>
      </c>
      <c r="D13" t="s">
        <v>10</v>
      </c>
      <c r="E13">
        <v>1</v>
      </c>
      <c r="F13" t="s">
        <v>11</v>
      </c>
      <c r="G13" t="s">
        <v>12</v>
      </c>
      <c r="H13">
        <v>4.5</v>
      </c>
      <c r="I13">
        <v>118</v>
      </c>
      <c r="J13" t="s">
        <v>278</v>
      </c>
      <c r="K13" t="s">
        <v>115</v>
      </c>
    </row>
    <row r="14" spans="1:11" x14ac:dyDescent="0.25">
      <c r="A14">
        <v>52</v>
      </c>
      <c r="B14" t="s">
        <v>116</v>
      </c>
      <c r="C14" t="s">
        <v>117</v>
      </c>
      <c r="D14" t="s">
        <v>10</v>
      </c>
      <c r="E14">
        <v>1</v>
      </c>
      <c r="F14" t="s">
        <v>11</v>
      </c>
      <c r="G14" t="s">
        <v>12</v>
      </c>
      <c r="H14">
        <v>4.5</v>
      </c>
      <c r="I14">
        <v>144</v>
      </c>
      <c r="J14" t="s">
        <v>403</v>
      </c>
      <c r="K14" t="s">
        <v>117</v>
      </c>
    </row>
    <row r="15" spans="1:11" x14ac:dyDescent="0.25">
      <c r="A15">
        <v>58</v>
      </c>
      <c r="B15" t="s">
        <v>128</v>
      </c>
      <c r="C15" t="s">
        <v>129</v>
      </c>
      <c r="D15" t="s">
        <v>10</v>
      </c>
      <c r="E15">
        <v>1</v>
      </c>
      <c r="F15" t="s">
        <v>11</v>
      </c>
      <c r="G15" t="s">
        <v>12</v>
      </c>
      <c r="H15">
        <v>4.5999999999999996</v>
      </c>
      <c r="I15">
        <v>414</v>
      </c>
      <c r="K15" t="s">
        <v>447</v>
      </c>
    </row>
    <row r="16" spans="1:11" x14ac:dyDescent="0.25">
      <c r="A16">
        <v>62</v>
      </c>
      <c r="B16" t="s">
        <v>137</v>
      </c>
      <c r="C16" t="s">
        <v>138</v>
      </c>
      <c r="D16" t="s">
        <v>10</v>
      </c>
      <c r="E16">
        <v>1</v>
      </c>
      <c r="F16" t="s">
        <v>11</v>
      </c>
      <c r="G16" t="s">
        <v>12</v>
      </c>
      <c r="H16">
        <v>4.4000000000000004</v>
      </c>
      <c r="I16">
        <v>67</v>
      </c>
      <c r="K16" t="s">
        <v>447</v>
      </c>
    </row>
    <row r="17" spans="1:11" x14ac:dyDescent="0.25">
      <c r="A17">
        <v>63</v>
      </c>
      <c r="B17" t="s">
        <v>139</v>
      </c>
      <c r="C17" t="s">
        <v>140</v>
      </c>
      <c r="D17" t="s">
        <v>15</v>
      </c>
      <c r="E17">
        <v>1</v>
      </c>
      <c r="F17" t="s">
        <v>11</v>
      </c>
      <c r="G17" t="s">
        <v>12</v>
      </c>
      <c r="H17">
        <v>4.9000000000000004</v>
      </c>
      <c r="I17">
        <v>20</v>
      </c>
      <c r="K17" t="s">
        <v>447</v>
      </c>
    </row>
    <row r="18" spans="1:11" x14ac:dyDescent="0.25">
      <c r="A18">
        <v>73</v>
      </c>
      <c r="B18" t="s">
        <v>159</v>
      </c>
      <c r="C18" t="s">
        <v>160</v>
      </c>
      <c r="D18" t="s">
        <v>10</v>
      </c>
      <c r="E18">
        <v>1</v>
      </c>
      <c r="F18" t="s">
        <v>11</v>
      </c>
      <c r="G18" t="s">
        <v>12</v>
      </c>
      <c r="H18">
        <v>4.5999999999999996</v>
      </c>
      <c r="I18">
        <v>85</v>
      </c>
      <c r="K18" t="s">
        <v>447</v>
      </c>
    </row>
    <row r="19" spans="1:11" x14ac:dyDescent="0.25">
      <c r="A19">
        <v>76</v>
      </c>
      <c r="B19" t="s">
        <v>165</v>
      </c>
      <c r="C19" t="s">
        <v>166</v>
      </c>
      <c r="D19" t="s">
        <v>10</v>
      </c>
      <c r="E19">
        <v>1</v>
      </c>
      <c r="F19" t="s">
        <v>11</v>
      </c>
      <c r="G19" t="s">
        <v>12</v>
      </c>
      <c r="H19">
        <v>4.5999999999999996</v>
      </c>
      <c r="I19">
        <v>96</v>
      </c>
      <c r="K19" t="s">
        <v>447</v>
      </c>
    </row>
    <row r="20" spans="1:11" x14ac:dyDescent="0.25">
      <c r="A20">
        <v>77</v>
      </c>
      <c r="B20" t="s">
        <v>167</v>
      </c>
      <c r="C20" t="s">
        <v>168</v>
      </c>
      <c r="D20" t="s">
        <v>10</v>
      </c>
      <c r="E20">
        <v>1</v>
      </c>
      <c r="F20" t="s">
        <v>11</v>
      </c>
      <c r="G20" t="s">
        <v>12</v>
      </c>
      <c r="H20">
        <v>4.8</v>
      </c>
      <c r="I20">
        <v>44</v>
      </c>
      <c r="K20" t="s">
        <v>447</v>
      </c>
    </row>
    <row r="21" spans="1:11" x14ac:dyDescent="0.25">
      <c r="A21">
        <v>91</v>
      </c>
      <c r="B21" t="s">
        <v>195</v>
      </c>
      <c r="C21" t="s">
        <v>196</v>
      </c>
      <c r="D21" t="s">
        <v>15</v>
      </c>
      <c r="E21">
        <v>1</v>
      </c>
      <c r="F21" t="s">
        <v>11</v>
      </c>
      <c r="G21" t="s">
        <v>12</v>
      </c>
      <c r="H21">
        <v>4.7</v>
      </c>
      <c r="I21">
        <v>51</v>
      </c>
      <c r="K21" t="s">
        <v>447</v>
      </c>
    </row>
    <row r="22" spans="1:11" x14ac:dyDescent="0.25">
      <c r="A22">
        <v>99</v>
      </c>
      <c r="B22" t="s">
        <v>211</v>
      </c>
      <c r="C22" t="s">
        <v>212</v>
      </c>
      <c r="D22" t="s">
        <v>10</v>
      </c>
      <c r="E22">
        <v>1</v>
      </c>
      <c r="F22" t="s">
        <v>11</v>
      </c>
      <c r="G22" t="s">
        <v>12</v>
      </c>
      <c r="H22">
        <v>4.7</v>
      </c>
      <c r="I22">
        <v>63</v>
      </c>
      <c r="K22" t="s">
        <v>447</v>
      </c>
    </row>
    <row r="23" spans="1:11" x14ac:dyDescent="0.25">
      <c r="A23">
        <v>9</v>
      </c>
      <c r="B23" t="s">
        <v>231</v>
      </c>
      <c r="C23" t="s">
        <v>232</v>
      </c>
      <c r="D23" t="s">
        <v>10</v>
      </c>
      <c r="E23">
        <v>1</v>
      </c>
      <c r="F23" t="s">
        <v>11</v>
      </c>
      <c r="G23" t="s">
        <v>12</v>
      </c>
      <c r="H23">
        <v>4.5999999999999996</v>
      </c>
      <c r="I23">
        <v>534</v>
      </c>
      <c r="K23" t="s">
        <v>447</v>
      </c>
    </row>
    <row r="24" spans="1:11" x14ac:dyDescent="0.25">
      <c r="A24">
        <v>10</v>
      </c>
      <c r="B24" t="s">
        <v>233</v>
      </c>
      <c r="C24" t="s">
        <v>234</v>
      </c>
      <c r="D24" t="s">
        <v>10</v>
      </c>
      <c r="E24">
        <v>1</v>
      </c>
      <c r="F24" t="s">
        <v>11</v>
      </c>
      <c r="G24" t="s">
        <v>12</v>
      </c>
      <c r="H24">
        <v>4.5</v>
      </c>
      <c r="I24">
        <v>805</v>
      </c>
      <c r="K24" t="s">
        <v>447</v>
      </c>
    </row>
    <row r="25" spans="1:11" x14ac:dyDescent="0.25">
      <c r="A25">
        <v>26</v>
      </c>
      <c r="B25" t="s">
        <v>265</v>
      </c>
      <c r="C25" t="s">
        <v>266</v>
      </c>
      <c r="D25" t="s">
        <v>15</v>
      </c>
      <c r="E25">
        <v>1</v>
      </c>
      <c r="F25" t="s">
        <v>11</v>
      </c>
      <c r="G25" t="s">
        <v>12</v>
      </c>
      <c r="H25">
        <v>4.5</v>
      </c>
      <c r="I25">
        <v>148</v>
      </c>
      <c r="K25" t="s">
        <v>447</v>
      </c>
    </row>
    <row r="26" spans="1:11" x14ac:dyDescent="0.25">
      <c r="A26">
        <v>29</v>
      </c>
      <c r="B26" t="s">
        <v>271</v>
      </c>
      <c r="C26" t="s">
        <v>272</v>
      </c>
      <c r="D26" t="s">
        <v>15</v>
      </c>
      <c r="E26">
        <v>1</v>
      </c>
      <c r="F26" t="s">
        <v>11</v>
      </c>
      <c r="G26" t="s">
        <v>12</v>
      </c>
      <c r="H26">
        <v>4.2</v>
      </c>
      <c r="I26">
        <v>564</v>
      </c>
      <c r="K26" t="s">
        <v>447</v>
      </c>
    </row>
    <row r="27" spans="1:11" x14ac:dyDescent="0.25">
      <c r="A27">
        <v>30</v>
      </c>
      <c r="B27" t="s">
        <v>273</v>
      </c>
      <c r="C27" t="s">
        <v>274</v>
      </c>
      <c r="D27" t="s">
        <v>15</v>
      </c>
      <c r="E27">
        <v>1</v>
      </c>
      <c r="F27" t="s">
        <v>11</v>
      </c>
      <c r="G27" t="s">
        <v>12</v>
      </c>
      <c r="H27">
        <v>4.5999999999999996</v>
      </c>
      <c r="I27">
        <v>546</v>
      </c>
      <c r="K27" t="s">
        <v>447</v>
      </c>
    </row>
    <row r="28" spans="1:11" x14ac:dyDescent="0.25">
      <c r="A28">
        <v>32</v>
      </c>
      <c r="B28" t="s">
        <v>277</v>
      </c>
      <c r="C28" t="s">
        <v>278</v>
      </c>
      <c r="D28" t="s">
        <v>10</v>
      </c>
      <c r="E28">
        <v>1</v>
      </c>
      <c r="F28" t="s">
        <v>11</v>
      </c>
      <c r="G28" t="s">
        <v>12</v>
      </c>
      <c r="H28">
        <v>4.4000000000000004</v>
      </c>
      <c r="I28">
        <v>19</v>
      </c>
      <c r="K28" t="s">
        <v>447</v>
      </c>
    </row>
    <row r="29" spans="1:11" x14ac:dyDescent="0.25">
      <c r="A29">
        <v>35</v>
      </c>
      <c r="B29" t="s">
        <v>284</v>
      </c>
      <c r="C29" t="s">
        <v>285</v>
      </c>
      <c r="D29" t="s">
        <v>132</v>
      </c>
      <c r="E29">
        <v>1</v>
      </c>
      <c r="F29" t="s">
        <v>11</v>
      </c>
      <c r="G29" t="s">
        <v>12</v>
      </c>
      <c r="H29">
        <v>4.7</v>
      </c>
      <c r="I29">
        <v>82</v>
      </c>
      <c r="K29" t="s">
        <v>447</v>
      </c>
    </row>
    <row r="30" spans="1:11" x14ac:dyDescent="0.25">
      <c r="A30">
        <v>36</v>
      </c>
      <c r="B30" t="s">
        <v>286</v>
      </c>
      <c r="C30" t="s">
        <v>287</v>
      </c>
      <c r="D30" t="s">
        <v>15</v>
      </c>
      <c r="E30">
        <v>1</v>
      </c>
      <c r="F30" t="s">
        <v>11</v>
      </c>
      <c r="G30" t="s">
        <v>12</v>
      </c>
      <c r="H30">
        <v>4.5</v>
      </c>
      <c r="I30">
        <v>427</v>
      </c>
      <c r="K30" t="s">
        <v>447</v>
      </c>
    </row>
    <row r="31" spans="1:11" x14ac:dyDescent="0.25">
      <c r="A31">
        <v>39</v>
      </c>
      <c r="B31" t="s">
        <v>292</v>
      </c>
      <c r="C31" t="s">
        <v>293</v>
      </c>
      <c r="D31" t="s">
        <v>10</v>
      </c>
      <c r="E31">
        <v>1</v>
      </c>
      <c r="F31" t="s">
        <v>11</v>
      </c>
      <c r="G31" t="s">
        <v>12</v>
      </c>
      <c r="H31">
        <v>4.4000000000000004</v>
      </c>
      <c r="I31">
        <v>762</v>
      </c>
      <c r="K31" t="s">
        <v>447</v>
      </c>
    </row>
    <row r="32" spans="1:11" x14ac:dyDescent="0.25">
      <c r="A32">
        <v>40</v>
      </c>
      <c r="B32" t="s">
        <v>294</v>
      </c>
      <c r="C32" t="s">
        <v>295</v>
      </c>
      <c r="D32" t="s">
        <v>10</v>
      </c>
      <c r="E32">
        <v>1</v>
      </c>
      <c r="F32" t="s">
        <v>11</v>
      </c>
      <c r="G32" t="s">
        <v>12</v>
      </c>
      <c r="H32">
        <v>4.4000000000000004</v>
      </c>
      <c r="I32">
        <v>468</v>
      </c>
      <c r="K32" t="s">
        <v>447</v>
      </c>
    </row>
    <row r="33" spans="1:11" x14ac:dyDescent="0.25">
      <c r="A33">
        <v>42</v>
      </c>
      <c r="B33" t="s">
        <v>298</v>
      </c>
      <c r="C33" t="s">
        <v>299</v>
      </c>
      <c r="D33" t="s">
        <v>10</v>
      </c>
      <c r="E33">
        <v>1</v>
      </c>
      <c r="F33" t="s">
        <v>11</v>
      </c>
      <c r="G33" t="s">
        <v>12</v>
      </c>
      <c r="H33">
        <v>4.5999999999999996</v>
      </c>
      <c r="I33">
        <v>274</v>
      </c>
      <c r="K33" t="s">
        <v>447</v>
      </c>
    </row>
    <row r="34" spans="1:11" x14ac:dyDescent="0.25">
      <c r="A34">
        <v>43</v>
      </c>
      <c r="B34" t="s">
        <v>300</v>
      </c>
      <c r="C34" t="s">
        <v>301</v>
      </c>
      <c r="D34" t="s">
        <v>132</v>
      </c>
      <c r="E34">
        <v>1</v>
      </c>
      <c r="F34" t="s">
        <v>11</v>
      </c>
      <c r="G34" t="s">
        <v>12</v>
      </c>
      <c r="H34">
        <v>4.4000000000000004</v>
      </c>
      <c r="I34">
        <v>122</v>
      </c>
      <c r="K34" t="s">
        <v>447</v>
      </c>
    </row>
    <row r="35" spans="1:11" x14ac:dyDescent="0.25">
      <c r="A35">
        <v>45</v>
      </c>
      <c r="B35" t="s">
        <v>304</v>
      </c>
      <c r="C35" t="s">
        <v>305</v>
      </c>
      <c r="D35" t="s">
        <v>10</v>
      </c>
      <c r="E35">
        <v>1</v>
      </c>
      <c r="F35" t="s">
        <v>11</v>
      </c>
      <c r="G35" t="s">
        <v>12</v>
      </c>
      <c r="H35">
        <v>4.5999999999999996</v>
      </c>
      <c r="I35">
        <v>43</v>
      </c>
      <c r="K35" t="s">
        <v>447</v>
      </c>
    </row>
    <row r="36" spans="1:11" x14ac:dyDescent="0.25">
      <c r="A36">
        <v>46</v>
      </c>
      <c r="B36" t="s">
        <v>306</v>
      </c>
      <c r="C36" t="s">
        <v>307</v>
      </c>
      <c r="D36" t="s">
        <v>10</v>
      </c>
      <c r="E36">
        <v>1</v>
      </c>
      <c r="F36" t="s">
        <v>11</v>
      </c>
      <c r="G36" t="s">
        <v>12</v>
      </c>
      <c r="H36">
        <v>4.5</v>
      </c>
      <c r="I36">
        <v>370</v>
      </c>
      <c r="K36" t="s">
        <v>447</v>
      </c>
    </row>
    <row r="37" spans="1:11" x14ac:dyDescent="0.25">
      <c r="A37">
        <v>51</v>
      </c>
      <c r="B37" t="s">
        <v>316</v>
      </c>
      <c r="C37" t="s">
        <v>317</v>
      </c>
      <c r="D37" t="s">
        <v>10</v>
      </c>
      <c r="E37">
        <v>1</v>
      </c>
      <c r="F37" t="s">
        <v>11</v>
      </c>
      <c r="G37" t="s">
        <v>12</v>
      </c>
      <c r="H37">
        <v>4.7</v>
      </c>
      <c r="I37">
        <v>188</v>
      </c>
      <c r="K37" t="s">
        <v>447</v>
      </c>
    </row>
    <row r="38" spans="1:11" x14ac:dyDescent="0.25">
      <c r="A38">
        <v>61</v>
      </c>
      <c r="B38" t="s">
        <v>336</v>
      </c>
      <c r="C38" t="s">
        <v>337</v>
      </c>
      <c r="D38" t="s">
        <v>10</v>
      </c>
      <c r="E38">
        <v>1</v>
      </c>
      <c r="F38" t="s">
        <v>11</v>
      </c>
      <c r="G38" t="s">
        <v>12</v>
      </c>
      <c r="H38">
        <v>4.5</v>
      </c>
      <c r="I38">
        <v>157</v>
      </c>
      <c r="K38" t="s">
        <v>447</v>
      </c>
    </row>
    <row r="39" spans="1:11" x14ac:dyDescent="0.25">
      <c r="A39">
        <v>64</v>
      </c>
      <c r="B39" t="s">
        <v>342</v>
      </c>
      <c r="C39" t="s">
        <v>343</v>
      </c>
      <c r="D39" t="s">
        <v>10</v>
      </c>
      <c r="E39">
        <v>1</v>
      </c>
      <c r="F39" t="s">
        <v>11</v>
      </c>
      <c r="G39" t="s">
        <v>12</v>
      </c>
      <c r="H39">
        <v>4.4000000000000004</v>
      </c>
      <c r="I39">
        <v>238</v>
      </c>
      <c r="K39" t="s">
        <v>447</v>
      </c>
    </row>
    <row r="40" spans="1:11" x14ac:dyDescent="0.25">
      <c r="A40">
        <v>66</v>
      </c>
      <c r="B40" t="s">
        <v>346</v>
      </c>
      <c r="C40" t="s">
        <v>347</v>
      </c>
      <c r="D40" t="s">
        <v>10</v>
      </c>
      <c r="E40">
        <v>1</v>
      </c>
      <c r="F40" t="s">
        <v>11</v>
      </c>
      <c r="G40" t="s">
        <v>12</v>
      </c>
      <c r="H40">
        <v>4.5999999999999996</v>
      </c>
      <c r="I40">
        <v>227</v>
      </c>
      <c r="K40" t="s">
        <v>447</v>
      </c>
    </row>
    <row r="41" spans="1:11" x14ac:dyDescent="0.25">
      <c r="A41">
        <v>69</v>
      </c>
      <c r="B41" t="s">
        <v>352</v>
      </c>
      <c r="C41" t="s">
        <v>353</v>
      </c>
      <c r="D41" t="s">
        <v>10</v>
      </c>
      <c r="E41">
        <v>1</v>
      </c>
      <c r="F41" t="s">
        <v>11</v>
      </c>
      <c r="G41" t="s">
        <v>12</v>
      </c>
      <c r="H41">
        <v>4.4000000000000004</v>
      </c>
      <c r="I41">
        <v>174</v>
      </c>
      <c r="K41" t="s">
        <v>447</v>
      </c>
    </row>
    <row r="42" spans="1:11" x14ac:dyDescent="0.25">
      <c r="A42">
        <v>72</v>
      </c>
      <c r="B42" t="s">
        <v>358</v>
      </c>
      <c r="C42" t="s">
        <v>359</v>
      </c>
      <c r="D42" t="s">
        <v>15</v>
      </c>
      <c r="E42">
        <v>1</v>
      </c>
      <c r="F42" t="s">
        <v>11</v>
      </c>
      <c r="G42" t="s">
        <v>12</v>
      </c>
      <c r="H42">
        <v>4.5</v>
      </c>
      <c r="I42">
        <v>288</v>
      </c>
      <c r="K42" t="s">
        <v>447</v>
      </c>
    </row>
    <row r="43" spans="1:11" x14ac:dyDescent="0.25">
      <c r="A43">
        <v>82</v>
      </c>
      <c r="B43" t="s">
        <v>378</v>
      </c>
      <c r="C43" t="s">
        <v>379</v>
      </c>
      <c r="D43" t="s">
        <v>10</v>
      </c>
      <c r="E43">
        <v>1</v>
      </c>
      <c r="F43" t="s">
        <v>11</v>
      </c>
      <c r="G43" t="s">
        <v>12</v>
      </c>
      <c r="H43">
        <v>4.3</v>
      </c>
      <c r="I43">
        <v>39</v>
      </c>
      <c r="K43" t="s">
        <v>447</v>
      </c>
    </row>
    <row r="44" spans="1:11" x14ac:dyDescent="0.25">
      <c r="A44">
        <v>84</v>
      </c>
      <c r="B44" t="s">
        <v>382</v>
      </c>
      <c r="C44" t="s">
        <v>383</v>
      </c>
      <c r="D44" t="s">
        <v>15</v>
      </c>
      <c r="E44">
        <v>1</v>
      </c>
      <c r="F44" t="s">
        <v>11</v>
      </c>
      <c r="G44" t="s">
        <v>12</v>
      </c>
      <c r="H44">
        <v>4.5</v>
      </c>
      <c r="I44">
        <v>188</v>
      </c>
      <c r="K44" t="s">
        <v>447</v>
      </c>
    </row>
    <row r="45" spans="1:11" x14ac:dyDescent="0.25">
      <c r="A45">
        <v>85</v>
      </c>
      <c r="B45" t="s">
        <v>384</v>
      </c>
      <c r="C45" t="s">
        <v>385</v>
      </c>
      <c r="D45" t="s">
        <v>15</v>
      </c>
      <c r="E45">
        <v>1</v>
      </c>
      <c r="F45" t="s">
        <v>11</v>
      </c>
      <c r="G45" t="s">
        <v>12</v>
      </c>
      <c r="H45">
        <v>4.5</v>
      </c>
      <c r="I45">
        <v>325</v>
      </c>
      <c r="K45" t="s">
        <v>447</v>
      </c>
    </row>
    <row r="46" spans="1:11" x14ac:dyDescent="0.25">
      <c r="A46">
        <v>90</v>
      </c>
      <c r="B46" t="s">
        <v>394</v>
      </c>
      <c r="C46" t="s">
        <v>395</v>
      </c>
      <c r="D46" t="s">
        <v>10</v>
      </c>
      <c r="E46">
        <v>1</v>
      </c>
      <c r="F46" t="s">
        <v>11</v>
      </c>
      <c r="G46" t="s">
        <v>12</v>
      </c>
      <c r="H46">
        <v>4.7</v>
      </c>
      <c r="I46">
        <v>89</v>
      </c>
      <c r="K46" t="s">
        <v>447</v>
      </c>
    </row>
    <row r="47" spans="1:11" x14ac:dyDescent="0.25">
      <c r="A47">
        <v>93</v>
      </c>
      <c r="B47" t="s">
        <v>400</v>
      </c>
      <c r="C47" t="s">
        <v>401</v>
      </c>
      <c r="D47" t="s">
        <v>10</v>
      </c>
      <c r="E47">
        <v>1</v>
      </c>
      <c r="F47" t="s">
        <v>11</v>
      </c>
      <c r="G47" t="s">
        <v>12</v>
      </c>
      <c r="H47">
        <v>4.5</v>
      </c>
      <c r="I47">
        <v>98</v>
      </c>
      <c r="K47" t="s">
        <v>447</v>
      </c>
    </row>
    <row r="48" spans="1:11" x14ac:dyDescent="0.25">
      <c r="A48">
        <v>94</v>
      </c>
      <c r="B48" t="s">
        <v>402</v>
      </c>
      <c r="C48" t="s">
        <v>403</v>
      </c>
      <c r="D48" t="s">
        <v>10</v>
      </c>
      <c r="E48">
        <v>1</v>
      </c>
      <c r="F48" t="s">
        <v>11</v>
      </c>
      <c r="G48" t="s">
        <v>12</v>
      </c>
      <c r="H48">
        <v>5</v>
      </c>
      <c r="I48">
        <v>6</v>
      </c>
      <c r="K48" t="s">
        <v>447</v>
      </c>
    </row>
    <row r="49" spans="1:11" x14ac:dyDescent="0.25">
      <c r="A49">
        <v>1</v>
      </c>
      <c r="B49" t="s">
        <v>414</v>
      </c>
      <c r="C49" t="s">
        <v>417</v>
      </c>
      <c r="D49" t="s">
        <v>10</v>
      </c>
      <c r="E49">
        <v>2</v>
      </c>
      <c r="F49" t="s">
        <v>11</v>
      </c>
      <c r="G49" t="s">
        <v>12</v>
      </c>
      <c r="H49">
        <v>4</v>
      </c>
      <c r="I49">
        <v>10</v>
      </c>
      <c r="K49" t="s">
        <v>447</v>
      </c>
    </row>
    <row r="50" spans="1:11" x14ac:dyDescent="0.25">
      <c r="A50">
        <v>3</v>
      </c>
      <c r="B50" t="s">
        <v>418</v>
      </c>
      <c r="C50" t="s">
        <v>421</v>
      </c>
      <c r="D50" t="s">
        <v>10</v>
      </c>
      <c r="E50">
        <v>1</v>
      </c>
      <c r="F50" t="s">
        <v>11</v>
      </c>
      <c r="G50" t="s">
        <v>12</v>
      </c>
      <c r="H50">
        <v>4.7</v>
      </c>
      <c r="I50">
        <v>93</v>
      </c>
      <c r="K50" t="s">
        <v>447</v>
      </c>
    </row>
    <row r="51" spans="1:11" x14ac:dyDescent="0.25">
      <c r="A51">
        <v>4</v>
      </c>
      <c r="B51" t="s">
        <v>420</v>
      </c>
      <c r="C51" t="s">
        <v>423</v>
      </c>
      <c r="D51" t="s">
        <v>10</v>
      </c>
      <c r="E51">
        <v>1</v>
      </c>
      <c r="F51" t="s">
        <v>11</v>
      </c>
      <c r="G51" t="s">
        <v>12</v>
      </c>
      <c r="H51">
        <v>4.5999999999999996</v>
      </c>
      <c r="I51">
        <v>70</v>
      </c>
      <c r="K51" t="s">
        <v>447</v>
      </c>
    </row>
    <row r="52" spans="1:11" x14ac:dyDescent="0.25">
      <c r="A52">
        <v>3</v>
      </c>
      <c r="B52" t="s">
        <v>18</v>
      </c>
      <c r="C52" t="s">
        <v>19</v>
      </c>
      <c r="D52" t="s">
        <v>10</v>
      </c>
      <c r="E52">
        <v>1</v>
      </c>
      <c r="F52" t="s">
        <v>11</v>
      </c>
      <c r="G52" t="s">
        <v>12</v>
      </c>
      <c r="H52">
        <v>4.2</v>
      </c>
      <c r="I52">
        <v>16</v>
      </c>
      <c r="J52" t="s">
        <v>55</v>
      </c>
      <c r="K52" t="s">
        <v>19</v>
      </c>
    </row>
    <row r="53" spans="1:11" x14ac:dyDescent="0.25">
      <c r="A53">
        <v>4</v>
      </c>
      <c r="B53" t="s">
        <v>20</v>
      </c>
      <c r="C53" t="s">
        <v>21</v>
      </c>
      <c r="D53" t="s">
        <v>10</v>
      </c>
      <c r="E53">
        <v>1</v>
      </c>
      <c r="F53" t="s">
        <v>11</v>
      </c>
      <c r="G53" t="s">
        <v>12</v>
      </c>
      <c r="H53">
        <v>4.5999999999999996</v>
      </c>
      <c r="I53">
        <v>160</v>
      </c>
      <c r="J53" t="s">
        <v>67</v>
      </c>
      <c r="K53" t="s">
        <v>21</v>
      </c>
    </row>
    <row r="54" spans="1:11" x14ac:dyDescent="0.25">
      <c r="A54">
        <v>30</v>
      </c>
      <c r="B54" t="s">
        <v>72</v>
      </c>
      <c r="C54" t="s">
        <v>73</v>
      </c>
      <c r="D54" t="s">
        <v>15</v>
      </c>
      <c r="E54">
        <v>1</v>
      </c>
      <c r="F54" t="s">
        <v>11</v>
      </c>
      <c r="G54" t="s">
        <v>12</v>
      </c>
      <c r="H54">
        <v>3.9</v>
      </c>
      <c r="I54">
        <v>63</v>
      </c>
      <c r="J54" t="s">
        <v>343</v>
      </c>
      <c r="K54" t="s">
        <v>73</v>
      </c>
    </row>
    <row r="55" spans="1:11" x14ac:dyDescent="0.25">
      <c r="A55">
        <v>45</v>
      </c>
      <c r="B55" t="s">
        <v>102</v>
      </c>
      <c r="C55" t="s">
        <v>448</v>
      </c>
      <c r="D55" t="s">
        <v>10</v>
      </c>
      <c r="E55">
        <v>1</v>
      </c>
      <c r="F55" t="s">
        <v>11</v>
      </c>
      <c r="G55" t="s">
        <v>12</v>
      </c>
      <c r="H55">
        <v>4.7</v>
      </c>
      <c r="I55">
        <v>32</v>
      </c>
      <c r="J55" t="s">
        <v>395</v>
      </c>
      <c r="K55" t="s">
        <v>103</v>
      </c>
    </row>
    <row r="56" spans="1:11" x14ac:dyDescent="0.25">
      <c r="A56">
        <v>81</v>
      </c>
      <c r="B56" t="s">
        <v>175</v>
      </c>
      <c r="C56" t="s">
        <v>176</v>
      </c>
      <c r="D56" t="s">
        <v>15</v>
      </c>
      <c r="E56">
        <v>1</v>
      </c>
      <c r="F56" t="s">
        <v>11</v>
      </c>
      <c r="G56" t="s">
        <v>12</v>
      </c>
      <c r="H56">
        <v>4.2</v>
      </c>
      <c r="I56">
        <v>61</v>
      </c>
      <c r="K56" t="s">
        <v>447</v>
      </c>
    </row>
    <row r="57" spans="1:11" x14ac:dyDescent="0.25">
      <c r="A57">
        <v>98</v>
      </c>
      <c r="B57" t="s">
        <v>209</v>
      </c>
      <c r="C57" t="s">
        <v>210</v>
      </c>
      <c r="D57" t="s">
        <v>10</v>
      </c>
      <c r="E57">
        <v>1</v>
      </c>
      <c r="F57" t="s">
        <v>11</v>
      </c>
      <c r="G57" t="s">
        <v>12</v>
      </c>
      <c r="H57">
        <v>4.5</v>
      </c>
      <c r="I57">
        <v>203</v>
      </c>
      <c r="K57" t="s">
        <v>447</v>
      </c>
    </row>
    <row r="58" spans="1:11" x14ac:dyDescent="0.25">
      <c r="A58">
        <v>28</v>
      </c>
      <c r="B58" t="s">
        <v>269</v>
      </c>
      <c r="C58" t="s">
        <v>270</v>
      </c>
      <c r="D58" t="s">
        <v>15</v>
      </c>
      <c r="E58">
        <v>1</v>
      </c>
      <c r="F58" t="s">
        <v>11</v>
      </c>
      <c r="G58" t="s">
        <v>12</v>
      </c>
      <c r="H58">
        <v>4.3</v>
      </c>
      <c r="I58">
        <v>45</v>
      </c>
      <c r="K58" t="s">
        <v>447</v>
      </c>
    </row>
    <row r="59" spans="1:11" x14ac:dyDescent="0.25">
      <c r="A59">
        <v>44</v>
      </c>
      <c r="B59" t="s">
        <v>302</v>
      </c>
      <c r="C59" t="s">
        <v>303</v>
      </c>
      <c r="D59" t="s">
        <v>10</v>
      </c>
      <c r="E59">
        <v>1</v>
      </c>
      <c r="F59" t="s">
        <v>11</v>
      </c>
      <c r="G59" t="s">
        <v>12</v>
      </c>
      <c r="H59">
        <v>4.7</v>
      </c>
      <c r="I59">
        <v>117</v>
      </c>
      <c r="K59" t="s">
        <v>447</v>
      </c>
    </row>
    <row r="60" spans="1:11" x14ac:dyDescent="0.25">
      <c r="A60">
        <v>24</v>
      </c>
      <c r="B60" t="s">
        <v>60</v>
      </c>
      <c r="C60" t="s">
        <v>451</v>
      </c>
      <c r="D60" t="s">
        <v>10</v>
      </c>
      <c r="E60">
        <v>1</v>
      </c>
      <c r="F60" t="s">
        <v>11</v>
      </c>
      <c r="G60" t="s">
        <v>12</v>
      </c>
      <c r="H60">
        <v>4.5999999999999996</v>
      </c>
      <c r="I60">
        <v>302</v>
      </c>
      <c r="J60" t="s">
        <v>299</v>
      </c>
      <c r="K60" t="s">
        <v>61</v>
      </c>
    </row>
    <row r="61" spans="1:11" x14ac:dyDescent="0.25">
      <c r="A61">
        <v>41</v>
      </c>
      <c r="B61" t="s">
        <v>94</v>
      </c>
      <c r="C61" t="s">
        <v>95</v>
      </c>
      <c r="D61" t="s">
        <v>10</v>
      </c>
      <c r="E61">
        <v>1</v>
      </c>
      <c r="F61" t="s">
        <v>11</v>
      </c>
      <c r="G61" t="s">
        <v>12</v>
      </c>
      <c r="H61">
        <v>4.7</v>
      </c>
      <c r="I61">
        <v>36</v>
      </c>
      <c r="J61" t="s">
        <v>347</v>
      </c>
      <c r="K61" t="s">
        <v>95</v>
      </c>
    </row>
    <row r="62" spans="1:11" x14ac:dyDescent="0.25">
      <c r="A62">
        <v>49</v>
      </c>
      <c r="B62" t="s">
        <v>110</v>
      </c>
      <c r="C62" t="s">
        <v>111</v>
      </c>
      <c r="D62" t="s">
        <v>10</v>
      </c>
      <c r="E62">
        <v>1</v>
      </c>
      <c r="F62" t="s">
        <v>11</v>
      </c>
      <c r="G62" t="s">
        <v>12</v>
      </c>
      <c r="H62">
        <v>4.4000000000000004</v>
      </c>
      <c r="I62">
        <v>39</v>
      </c>
      <c r="J62" t="s">
        <v>140</v>
      </c>
      <c r="K62" t="s">
        <v>111</v>
      </c>
    </row>
    <row r="63" spans="1:11" x14ac:dyDescent="0.25">
      <c r="A63">
        <v>60</v>
      </c>
      <c r="B63" t="s">
        <v>133</v>
      </c>
      <c r="C63" t="s">
        <v>134</v>
      </c>
      <c r="D63" t="s">
        <v>15</v>
      </c>
      <c r="E63">
        <v>1</v>
      </c>
      <c r="F63" t="s">
        <v>11</v>
      </c>
      <c r="G63" t="s">
        <v>12</v>
      </c>
      <c r="H63">
        <v>4.5</v>
      </c>
      <c r="I63">
        <v>159</v>
      </c>
      <c r="K63" t="s">
        <v>447</v>
      </c>
    </row>
    <row r="64" spans="1:11" x14ac:dyDescent="0.25">
      <c r="A64">
        <v>61</v>
      </c>
      <c r="B64" t="s">
        <v>135</v>
      </c>
      <c r="C64" t="s">
        <v>136</v>
      </c>
      <c r="D64" t="s">
        <v>10</v>
      </c>
      <c r="E64">
        <v>1</v>
      </c>
      <c r="F64" t="s">
        <v>11</v>
      </c>
      <c r="G64" t="s">
        <v>12</v>
      </c>
      <c r="H64">
        <v>4.5999999999999996</v>
      </c>
      <c r="I64">
        <v>155</v>
      </c>
      <c r="K64" t="s">
        <v>447</v>
      </c>
    </row>
    <row r="65" spans="1:11" x14ac:dyDescent="0.25">
      <c r="A65">
        <v>67</v>
      </c>
      <c r="B65" t="s">
        <v>147</v>
      </c>
      <c r="C65" t="s">
        <v>148</v>
      </c>
      <c r="D65" t="s">
        <v>10</v>
      </c>
      <c r="E65">
        <v>1</v>
      </c>
      <c r="F65" t="s">
        <v>11</v>
      </c>
      <c r="G65" t="s">
        <v>12</v>
      </c>
      <c r="H65">
        <v>4.7</v>
      </c>
      <c r="I65">
        <v>80</v>
      </c>
      <c r="K65" t="s">
        <v>447</v>
      </c>
    </row>
    <row r="66" spans="1:11" x14ac:dyDescent="0.25">
      <c r="A66">
        <v>84</v>
      </c>
      <c r="B66" t="s">
        <v>181</v>
      </c>
      <c r="C66" t="s">
        <v>182</v>
      </c>
      <c r="D66" t="s">
        <v>15</v>
      </c>
      <c r="E66">
        <v>1</v>
      </c>
      <c r="F66" t="s">
        <v>11</v>
      </c>
      <c r="G66" t="s">
        <v>12</v>
      </c>
      <c r="H66">
        <v>4.5999999999999996</v>
      </c>
      <c r="I66">
        <v>191</v>
      </c>
      <c r="K66" t="s">
        <v>447</v>
      </c>
    </row>
    <row r="67" spans="1:11" x14ac:dyDescent="0.25">
      <c r="A67">
        <v>85</v>
      </c>
      <c r="B67" t="s">
        <v>183</v>
      </c>
      <c r="C67" t="s">
        <v>184</v>
      </c>
      <c r="D67" t="s">
        <v>10</v>
      </c>
      <c r="E67">
        <v>1</v>
      </c>
      <c r="F67" t="s">
        <v>11</v>
      </c>
      <c r="G67" t="s">
        <v>12</v>
      </c>
      <c r="H67">
        <v>4.4000000000000004</v>
      </c>
      <c r="I67">
        <v>120</v>
      </c>
      <c r="K67" t="s">
        <v>447</v>
      </c>
    </row>
    <row r="68" spans="1:11" x14ac:dyDescent="0.25">
      <c r="A68">
        <v>86</v>
      </c>
      <c r="B68" t="s">
        <v>185</v>
      </c>
      <c r="C68" t="s">
        <v>449</v>
      </c>
      <c r="D68" t="s">
        <v>10</v>
      </c>
      <c r="E68">
        <v>1</v>
      </c>
      <c r="F68" t="s">
        <v>11</v>
      </c>
      <c r="G68" t="s">
        <v>12</v>
      </c>
      <c r="H68">
        <v>4.5999999999999996</v>
      </c>
      <c r="I68">
        <v>80</v>
      </c>
      <c r="K68" t="s">
        <v>447</v>
      </c>
    </row>
    <row r="69" spans="1:11" x14ac:dyDescent="0.25">
      <c r="A69">
        <v>87</v>
      </c>
      <c r="B69" t="s">
        <v>187</v>
      </c>
      <c r="C69" t="s">
        <v>188</v>
      </c>
      <c r="D69" t="s">
        <v>15</v>
      </c>
      <c r="E69">
        <v>1</v>
      </c>
      <c r="F69" t="s">
        <v>11</v>
      </c>
      <c r="G69" t="s">
        <v>12</v>
      </c>
      <c r="H69">
        <v>4.5999999999999996</v>
      </c>
      <c r="I69">
        <v>33</v>
      </c>
      <c r="K69" t="s">
        <v>447</v>
      </c>
    </row>
    <row r="70" spans="1:11" x14ac:dyDescent="0.25">
      <c r="A70">
        <v>89</v>
      </c>
      <c r="B70" t="s">
        <v>191</v>
      </c>
      <c r="C70" t="s">
        <v>446</v>
      </c>
      <c r="D70" t="s">
        <v>10</v>
      </c>
      <c r="E70">
        <v>1</v>
      </c>
      <c r="F70" t="s">
        <v>11</v>
      </c>
      <c r="G70" t="s">
        <v>12</v>
      </c>
      <c r="H70">
        <v>4.3</v>
      </c>
      <c r="I70">
        <v>47</v>
      </c>
      <c r="K70" t="s">
        <v>447</v>
      </c>
    </row>
    <row r="71" spans="1:11" x14ac:dyDescent="0.25">
      <c r="A71">
        <v>90</v>
      </c>
      <c r="B71" t="s">
        <v>193</v>
      </c>
      <c r="C71" t="s">
        <v>450</v>
      </c>
      <c r="D71" t="s">
        <v>10</v>
      </c>
      <c r="E71">
        <v>1</v>
      </c>
      <c r="F71" t="s">
        <v>11</v>
      </c>
      <c r="G71" t="s">
        <v>12</v>
      </c>
      <c r="H71">
        <v>4.3</v>
      </c>
      <c r="I71">
        <v>82</v>
      </c>
      <c r="K71" t="s">
        <v>447</v>
      </c>
    </row>
    <row r="72" spans="1:11" x14ac:dyDescent="0.25">
      <c r="A72">
        <v>3</v>
      </c>
      <c r="B72" t="s">
        <v>219</v>
      </c>
      <c r="C72" t="s">
        <v>220</v>
      </c>
      <c r="D72" t="s">
        <v>10</v>
      </c>
      <c r="E72">
        <v>1</v>
      </c>
      <c r="F72" t="s">
        <v>11</v>
      </c>
      <c r="G72" t="s">
        <v>12</v>
      </c>
      <c r="H72">
        <v>4.4000000000000004</v>
      </c>
      <c r="I72">
        <v>261</v>
      </c>
      <c r="K72" t="s">
        <v>447</v>
      </c>
    </row>
    <row r="73" spans="1:11" x14ac:dyDescent="0.25">
      <c r="A73">
        <v>14</v>
      </c>
      <c r="B73" t="s">
        <v>241</v>
      </c>
      <c r="C73" t="s">
        <v>452</v>
      </c>
      <c r="D73" t="s">
        <v>15</v>
      </c>
      <c r="E73">
        <v>1</v>
      </c>
      <c r="F73" t="s">
        <v>11</v>
      </c>
      <c r="G73" t="s">
        <v>12</v>
      </c>
      <c r="H73">
        <v>4.2</v>
      </c>
      <c r="I73">
        <v>36</v>
      </c>
      <c r="K73" t="s">
        <v>447</v>
      </c>
    </row>
    <row r="74" spans="1:11" x14ac:dyDescent="0.25">
      <c r="A74">
        <v>18</v>
      </c>
      <c r="B74" t="s">
        <v>249</v>
      </c>
      <c r="C74" t="s">
        <v>250</v>
      </c>
      <c r="D74" t="s">
        <v>15</v>
      </c>
      <c r="E74">
        <v>1</v>
      </c>
      <c r="F74" t="s">
        <v>11</v>
      </c>
      <c r="G74" t="s">
        <v>12</v>
      </c>
      <c r="H74">
        <v>4.8</v>
      </c>
      <c r="I74">
        <v>190</v>
      </c>
      <c r="K74" t="s">
        <v>447</v>
      </c>
    </row>
    <row r="75" spans="1:11" x14ac:dyDescent="0.25">
      <c r="A75">
        <v>20</v>
      </c>
      <c r="B75" t="s">
        <v>253</v>
      </c>
      <c r="C75" t="s">
        <v>254</v>
      </c>
      <c r="D75" t="s">
        <v>15</v>
      </c>
      <c r="E75">
        <v>1</v>
      </c>
      <c r="F75" t="s">
        <v>11</v>
      </c>
      <c r="G75" t="s">
        <v>12</v>
      </c>
      <c r="H75">
        <v>4.7</v>
      </c>
      <c r="I75">
        <v>72</v>
      </c>
      <c r="K75" t="s">
        <v>447</v>
      </c>
    </row>
    <row r="76" spans="1:11" x14ac:dyDescent="0.25">
      <c r="A76">
        <v>23</v>
      </c>
      <c r="B76" t="s">
        <v>259</v>
      </c>
      <c r="C76" t="s">
        <v>260</v>
      </c>
      <c r="D76" t="s">
        <v>10</v>
      </c>
      <c r="E76">
        <v>1</v>
      </c>
      <c r="F76" t="s">
        <v>11</v>
      </c>
      <c r="G76" t="s">
        <v>12</v>
      </c>
      <c r="H76">
        <v>4.7</v>
      </c>
      <c r="I76">
        <v>288</v>
      </c>
      <c r="K76" t="s">
        <v>447</v>
      </c>
    </row>
    <row r="77" spans="1:11" x14ac:dyDescent="0.25">
      <c r="A77">
        <v>77</v>
      </c>
      <c r="B77" t="s">
        <v>368</v>
      </c>
      <c r="C77" t="s">
        <v>369</v>
      </c>
      <c r="D77" t="s">
        <v>10</v>
      </c>
      <c r="E77">
        <v>1</v>
      </c>
      <c r="F77" t="s">
        <v>11</v>
      </c>
      <c r="G77" t="s">
        <v>12</v>
      </c>
      <c r="H77">
        <v>4.8</v>
      </c>
      <c r="I77">
        <v>106</v>
      </c>
      <c r="K77" t="s">
        <v>447</v>
      </c>
    </row>
    <row r="78" spans="1:11" x14ac:dyDescent="0.25">
      <c r="A78">
        <v>97</v>
      </c>
      <c r="B78" t="s">
        <v>408</v>
      </c>
      <c r="C78" t="s">
        <v>409</v>
      </c>
      <c r="D78" t="s">
        <v>15</v>
      </c>
      <c r="E78">
        <v>1</v>
      </c>
      <c r="F78" t="s">
        <v>11</v>
      </c>
      <c r="G78" t="s">
        <v>12</v>
      </c>
      <c r="H78">
        <v>4.8</v>
      </c>
      <c r="I78">
        <v>104</v>
      </c>
      <c r="K78" t="s">
        <v>447</v>
      </c>
    </row>
    <row r="79" spans="1:11" x14ac:dyDescent="0.25">
      <c r="A79">
        <v>12</v>
      </c>
      <c r="B79" t="s">
        <v>237</v>
      </c>
      <c r="C79" t="s">
        <v>238</v>
      </c>
      <c r="D79" t="s">
        <v>10</v>
      </c>
      <c r="E79">
        <v>1</v>
      </c>
      <c r="F79" t="s">
        <v>11</v>
      </c>
      <c r="G79" t="s">
        <v>12</v>
      </c>
      <c r="H79">
        <v>4</v>
      </c>
      <c r="I79">
        <v>74</v>
      </c>
      <c r="K79" t="s">
        <v>447</v>
      </c>
    </row>
    <row r="80" spans="1:11" x14ac:dyDescent="0.25">
      <c r="A80">
        <v>93</v>
      </c>
      <c r="B80" t="s">
        <v>199</v>
      </c>
      <c r="C80" t="s">
        <v>200</v>
      </c>
      <c r="D80" t="s">
        <v>132</v>
      </c>
      <c r="E80">
        <v>1</v>
      </c>
      <c r="F80" t="s">
        <v>11</v>
      </c>
      <c r="G80" t="s">
        <v>12</v>
      </c>
      <c r="H80">
        <v>4.7</v>
      </c>
      <c r="I80">
        <v>62</v>
      </c>
      <c r="K80" t="s">
        <v>447</v>
      </c>
    </row>
    <row r="81" spans="1:11" x14ac:dyDescent="0.25">
      <c r="A81">
        <v>81</v>
      </c>
      <c r="B81" t="s">
        <v>376</v>
      </c>
      <c r="C81" t="s">
        <v>377</v>
      </c>
      <c r="D81" t="s">
        <v>10</v>
      </c>
      <c r="E81">
        <v>1</v>
      </c>
      <c r="F81" t="s">
        <v>11</v>
      </c>
      <c r="G81" t="s">
        <v>12</v>
      </c>
      <c r="H81">
        <v>4.9000000000000004</v>
      </c>
      <c r="I81">
        <v>15</v>
      </c>
      <c r="K81" t="s">
        <v>447</v>
      </c>
    </row>
    <row r="82" spans="1:11" x14ac:dyDescent="0.25">
      <c r="A82">
        <v>47</v>
      </c>
      <c r="B82" t="s">
        <v>106</v>
      </c>
      <c r="C82" t="s">
        <v>107</v>
      </c>
      <c r="D82" t="s">
        <v>10</v>
      </c>
      <c r="E82">
        <v>2</v>
      </c>
      <c r="F82" t="s">
        <v>11</v>
      </c>
      <c r="G82" t="s">
        <v>12</v>
      </c>
      <c r="H82">
        <v>4.3</v>
      </c>
      <c r="I82">
        <v>6</v>
      </c>
      <c r="J82" t="s">
        <v>446</v>
      </c>
      <c r="K82" t="s">
        <v>447</v>
      </c>
    </row>
    <row r="83" spans="1:11" x14ac:dyDescent="0.25">
      <c r="A83">
        <v>92</v>
      </c>
      <c r="B83" t="s">
        <v>398</v>
      </c>
      <c r="C83" t="s">
        <v>399</v>
      </c>
      <c r="D83" t="s">
        <v>10</v>
      </c>
      <c r="E83">
        <v>2</v>
      </c>
      <c r="F83" t="s">
        <v>11</v>
      </c>
      <c r="G83" t="s">
        <v>12</v>
      </c>
      <c r="H83">
        <v>5</v>
      </c>
      <c r="I83">
        <v>3</v>
      </c>
      <c r="K83" t="s">
        <v>447</v>
      </c>
    </row>
    <row r="84" spans="1:11" x14ac:dyDescent="0.25">
      <c r="A84">
        <v>44</v>
      </c>
      <c r="B84" t="s">
        <v>100</v>
      </c>
      <c r="C84" t="s">
        <v>101</v>
      </c>
      <c r="D84" t="s">
        <v>10</v>
      </c>
      <c r="E84">
        <v>3</v>
      </c>
      <c r="F84" t="s">
        <v>11</v>
      </c>
      <c r="G84" t="s">
        <v>12</v>
      </c>
      <c r="H84">
        <v>5</v>
      </c>
      <c r="I84">
        <v>2</v>
      </c>
      <c r="J84" t="s">
        <v>129</v>
      </c>
      <c r="K84" t="s">
        <v>101</v>
      </c>
    </row>
    <row r="85" spans="1:11" x14ac:dyDescent="0.25">
      <c r="A85">
        <v>12</v>
      </c>
      <c r="B85" t="s">
        <v>436</v>
      </c>
      <c r="C85" s="2" t="s">
        <v>453</v>
      </c>
      <c r="D85" t="s">
        <v>10</v>
      </c>
      <c r="E85">
        <v>4</v>
      </c>
      <c r="F85" t="s">
        <v>11</v>
      </c>
      <c r="G85" t="s">
        <v>12</v>
      </c>
      <c r="I85">
        <v>0</v>
      </c>
      <c r="K85" t="str">
        <f>IF(C86="","",IF(COUNTIF($C$2:C$215,J$2:J$53)=1,C86,""))</f>
        <v/>
      </c>
    </row>
    <row r="86" spans="1:11" x14ac:dyDescent="0.25">
      <c r="A86">
        <v>13</v>
      </c>
      <c r="B86" t="s">
        <v>438</v>
      </c>
      <c r="C86" s="2" t="s">
        <v>454</v>
      </c>
      <c r="D86" t="s">
        <v>10</v>
      </c>
      <c r="E86">
        <v>4</v>
      </c>
      <c r="F86" t="s">
        <v>11</v>
      </c>
      <c r="G86" t="s">
        <v>12</v>
      </c>
      <c r="I86">
        <v>0</v>
      </c>
      <c r="K86" t="e">
        <f>IF(#REF!="","",IF(COUNTIF($C$2:C$215,J$2:J$53)=1,#REF!,""))</f>
        <v>#REF!</v>
      </c>
    </row>
    <row r="87" spans="1:11" x14ac:dyDescent="0.25">
      <c r="A87">
        <v>37</v>
      </c>
      <c r="B87" t="s">
        <v>86</v>
      </c>
      <c r="C87" t="s">
        <v>87</v>
      </c>
      <c r="D87" t="s">
        <v>10</v>
      </c>
      <c r="E87">
        <v>1</v>
      </c>
      <c r="F87" t="s">
        <v>11</v>
      </c>
      <c r="G87" t="s">
        <v>12</v>
      </c>
      <c r="H87">
        <v>4.2</v>
      </c>
      <c r="I87">
        <v>92</v>
      </c>
      <c r="J87" t="s">
        <v>417</v>
      </c>
      <c r="K87" t="s">
        <v>87</v>
      </c>
    </row>
    <row r="88" spans="1:11" x14ac:dyDescent="0.25">
      <c r="A88">
        <v>96</v>
      </c>
      <c r="B88" t="s">
        <v>205</v>
      </c>
      <c r="C88" t="s">
        <v>455</v>
      </c>
      <c r="D88" t="s">
        <v>10</v>
      </c>
      <c r="E88">
        <v>1</v>
      </c>
      <c r="F88" t="s">
        <v>11</v>
      </c>
      <c r="G88" t="s">
        <v>12</v>
      </c>
      <c r="H88">
        <v>4.0999999999999996</v>
      </c>
      <c r="I88">
        <v>34</v>
      </c>
      <c r="K88" t="s">
        <v>447</v>
      </c>
    </row>
    <row r="89" spans="1:11" x14ac:dyDescent="0.25">
      <c r="A89">
        <v>20</v>
      </c>
      <c r="B89" t="s">
        <v>52</v>
      </c>
      <c r="C89" t="s">
        <v>53</v>
      </c>
      <c r="D89" t="s">
        <v>15</v>
      </c>
      <c r="E89">
        <v>1</v>
      </c>
      <c r="F89" t="s">
        <v>11</v>
      </c>
      <c r="G89" t="s">
        <v>12</v>
      </c>
      <c r="H89">
        <v>4.7</v>
      </c>
      <c r="I89">
        <v>32</v>
      </c>
      <c r="J89" t="s">
        <v>285</v>
      </c>
      <c r="K89" t="s">
        <v>53</v>
      </c>
    </row>
    <row r="90" spans="1:11" x14ac:dyDescent="0.25">
      <c r="A90">
        <v>50</v>
      </c>
      <c r="B90" t="s">
        <v>112</v>
      </c>
      <c r="C90" t="s">
        <v>113</v>
      </c>
      <c r="D90" t="s">
        <v>10</v>
      </c>
      <c r="E90">
        <v>1</v>
      </c>
      <c r="F90" t="s">
        <v>11</v>
      </c>
      <c r="G90" t="s">
        <v>12</v>
      </c>
      <c r="H90">
        <v>4.9000000000000004</v>
      </c>
      <c r="I90">
        <v>10</v>
      </c>
      <c r="J90" t="s">
        <v>37</v>
      </c>
      <c r="K90" t="s">
        <v>113</v>
      </c>
    </row>
    <row r="91" spans="1:11" x14ac:dyDescent="0.25">
      <c r="A91">
        <v>7</v>
      </c>
      <c r="B91" t="s">
        <v>426</v>
      </c>
      <c r="C91" t="s">
        <v>427</v>
      </c>
      <c r="D91" t="s">
        <v>10</v>
      </c>
      <c r="E91">
        <v>2</v>
      </c>
      <c r="F91" t="s">
        <v>11</v>
      </c>
      <c r="G91" t="s">
        <v>12</v>
      </c>
      <c r="H91">
        <v>4.7</v>
      </c>
      <c r="I91">
        <v>3</v>
      </c>
      <c r="K91" t="s">
        <v>447</v>
      </c>
    </row>
    <row r="92" spans="1:11" x14ac:dyDescent="0.25">
      <c r="A92">
        <v>62</v>
      </c>
      <c r="B92" t="s">
        <v>338</v>
      </c>
      <c r="C92" t="s">
        <v>339</v>
      </c>
      <c r="D92" t="s">
        <v>10</v>
      </c>
      <c r="E92">
        <v>1</v>
      </c>
      <c r="F92" t="s">
        <v>11</v>
      </c>
      <c r="G92" t="s">
        <v>12</v>
      </c>
      <c r="H92">
        <v>3.6</v>
      </c>
      <c r="I92">
        <v>21</v>
      </c>
      <c r="K92" t="s">
        <v>447</v>
      </c>
    </row>
  </sheetData>
  <conditionalFormatting sqref="C85">
    <cfRule type="duplicateValues" dxfId="3" priority="3"/>
  </conditionalFormatting>
  <conditionalFormatting sqref="J85 C85">
    <cfRule type="duplicateValues" dxfId="2" priority="4"/>
  </conditionalFormatting>
  <conditionalFormatting sqref="C86">
    <cfRule type="duplicateValues" dxfId="1" priority="1"/>
  </conditionalFormatting>
  <conditionalFormatting sqref="J86 C8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coursera_guided projects_0t (2</vt:lpstr>
      <vt:lpstr>coursera_guided projects_0to214</vt:lpstr>
      <vt:lpstr>new</vt:lpstr>
      <vt:lpstr>enrolled</vt:lpstr>
      <vt:lpstr>downloaded true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Farzad</cp:lastModifiedBy>
  <dcterms:created xsi:type="dcterms:W3CDTF">2020-09-24T10:14:42Z</dcterms:created>
  <dcterms:modified xsi:type="dcterms:W3CDTF">2020-09-29T11:17:54Z</dcterms:modified>
</cp:coreProperties>
</file>